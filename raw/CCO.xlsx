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estado-sistema-gas-rodrigo-clean\raw\"/>
    </mc:Choice>
  </mc:AlternateContent>
  <xr:revisionPtr revIDLastSave="0" documentId="13_ncr:1_{473EC67A-B8EC-4CAE-BDD0-D8F499639596}" xr6:coauthVersionLast="47" xr6:coauthVersionMax="47" xr10:uidLastSave="{00000000-0000-0000-0000-000000000000}"/>
  <bookViews>
    <workbookView xWindow="-120" yWindow="-16320" windowWidth="29040" windowHeight="15720" xr2:uid="{6F97E465-4DE3-4B6A-B2F0-A054BC88C402}"/>
  </bookViews>
  <sheets>
    <sheet name="CCO - SE - Cammes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3" i="1" l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AG45" i="1"/>
  <c r="O93" i="1"/>
  <c r="P93" i="1"/>
  <c r="Q93" i="1"/>
  <c r="R93" i="1"/>
  <c r="S93" i="1"/>
  <c r="T93" i="1"/>
  <c r="U93" i="1"/>
  <c r="V93" i="1"/>
  <c r="W93" i="1"/>
  <c r="X93" i="1"/>
  <c r="AW31" i="1"/>
  <c r="AX31" i="1"/>
  <c r="AY31" i="1"/>
  <c r="AZ31" i="1"/>
  <c r="BA31" i="1"/>
  <c r="BB31" i="1"/>
  <c r="BC31" i="1"/>
  <c r="BD31" i="1"/>
  <c r="AW18" i="1"/>
  <c r="AX18" i="1"/>
  <c r="AY18" i="1"/>
  <c r="AZ18" i="1"/>
  <c r="BA18" i="1"/>
  <c r="BB18" i="1"/>
  <c r="BC18" i="1"/>
  <c r="BD18" i="1"/>
  <c r="BE18" i="1"/>
  <c r="BF18" i="1"/>
  <c r="BG18" i="1"/>
  <c r="E67" i="1" l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D67" i="1"/>
  <c r="AJ65" i="1" l="1"/>
  <c r="AK65" i="1"/>
  <c r="AL65" i="1"/>
  <c r="AM65" i="1"/>
  <c r="AN65" i="1"/>
  <c r="AO65" i="1"/>
  <c r="AU65" i="1"/>
  <c r="AV65" i="1"/>
  <c r="AW65" i="1"/>
  <c r="AX65" i="1"/>
  <c r="AY65" i="1"/>
  <c r="AZ65" i="1"/>
  <c r="BA65" i="1"/>
  <c r="BB65" i="1"/>
  <c r="BC65" i="1"/>
  <c r="AS13" i="1" l="1"/>
  <c r="AR13" i="1"/>
  <c r="AQ13" i="1"/>
  <c r="CQ110" i="1" l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CN84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M85" i="1"/>
  <c r="AL85" i="1"/>
  <c r="AK85" i="1"/>
  <c r="AJ85" i="1"/>
  <c r="BJ84" i="1"/>
  <c r="AM84" i="1"/>
  <c r="AL84" i="1"/>
  <c r="AK84" i="1"/>
  <c r="AJ84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BL65" i="1"/>
  <c r="BK65" i="1"/>
  <c r="BJ65" i="1"/>
  <c r="BI65" i="1"/>
  <c r="BH65" i="1"/>
  <c r="BG65" i="1"/>
  <c r="BF65" i="1"/>
  <c r="BE65" i="1"/>
  <c r="BD65" i="1"/>
  <c r="AT65" i="1"/>
  <c r="AS65" i="1"/>
  <c r="AR65" i="1"/>
  <c r="AQ65" i="1"/>
  <c r="AP65" i="1"/>
  <c r="AI65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BL31" i="1"/>
  <c r="BK31" i="1"/>
  <c r="BJ31" i="1"/>
  <c r="BI31" i="1"/>
  <c r="BH31" i="1"/>
  <c r="BG31" i="1"/>
  <c r="BF31" i="1"/>
  <c r="BE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BL18" i="1"/>
  <c r="BK18" i="1"/>
  <c r="BJ18" i="1"/>
  <c r="BI18" i="1"/>
  <c r="BH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AH93" i="1"/>
  <c r="AG93" i="1"/>
  <c r="AF93" i="1"/>
  <c r="AE93" i="1"/>
  <c r="AD93" i="1"/>
  <c r="AC93" i="1"/>
  <c r="AB93" i="1"/>
  <c r="AA93" i="1"/>
  <c r="Z93" i="1"/>
  <c r="Y93" i="1"/>
  <c r="N93" i="1"/>
  <c r="M93" i="1"/>
  <c r="L93" i="1"/>
  <c r="K93" i="1"/>
  <c r="J93" i="1"/>
  <c r="I93" i="1"/>
  <c r="H93" i="1"/>
  <c r="G93" i="1"/>
  <c r="F93" i="1"/>
  <c r="E93" i="1"/>
  <c r="D93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AE84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AH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E85" i="1" l="1"/>
  <c r="BJ85" i="1"/>
  <c r="CN85" i="1"/>
  <c r="T84" i="1"/>
  <c r="T85" i="1"/>
  <c r="U84" i="1"/>
  <c r="U85" i="1"/>
  <c r="V84" i="1"/>
  <c r="V85" i="1"/>
  <c r="W84" i="1"/>
  <c r="W85" i="1"/>
  <c r="X84" i="1"/>
  <c r="X85" i="1"/>
  <c r="Y84" i="1"/>
  <c r="Y85" i="1"/>
  <c r="Z84" i="1"/>
  <c r="Z85" i="1"/>
  <c r="AA84" i="1"/>
  <c r="AA85" i="1"/>
  <c r="AB84" i="1"/>
  <c r="AB85" i="1"/>
  <c r="AC84" i="1"/>
  <c r="AC85" i="1"/>
  <c r="AD84" i="1"/>
  <c r="AD85" i="1"/>
  <c r="AF85" i="1"/>
  <c r="AF84" i="1"/>
  <c r="AG85" i="1"/>
  <c r="AG84" i="1"/>
  <c r="AH85" i="1"/>
  <c r="AH84" i="1"/>
  <c r="AI85" i="1"/>
  <c r="AI84" i="1"/>
  <c r="AN85" i="1"/>
  <c r="AN84" i="1"/>
  <c r="AO85" i="1"/>
  <c r="AO84" i="1"/>
  <c r="AP85" i="1"/>
  <c r="AP84" i="1"/>
  <c r="AQ85" i="1"/>
  <c r="AQ84" i="1"/>
  <c r="AR85" i="1"/>
  <c r="AR84" i="1"/>
  <c r="AS85" i="1"/>
  <c r="AS84" i="1"/>
  <c r="AT85" i="1"/>
  <c r="AT84" i="1"/>
  <c r="AU85" i="1"/>
  <c r="AU84" i="1"/>
  <c r="AV85" i="1"/>
  <c r="AV84" i="1"/>
  <c r="AW85" i="1"/>
  <c r="AW84" i="1"/>
  <c r="AX85" i="1"/>
  <c r="AX84" i="1"/>
  <c r="AY85" i="1"/>
  <c r="AY84" i="1"/>
  <c r="AZ85" i="1"/>
  <c r="AZ84" i="1"/>
  <c r="BA85" i="1"/>
  <c r="BA84" i="1"/>
  <c r="BB85" i="1"/>
  <c r="BB84" i="1"/>
  <c r="BC85" i="1"/>
  <c r="BC84" i="1"/>
  <c r="BD85" i="1"/>
  <c r="BD84" i="1"/>
  <c r="BE85" i="1"/>
  <c r="BE84" i="1"/>
  <c r="BF85" i="1"/>
  <c r="BF84" i="1"/>
  <c r="BG85" i="1"/>
  <c r="BG84" i="1"/>
  <c r="BH85" i="1"/>
  <c r="BH84" i="1"/>
  <c r="BI85" i="1"/>
  <c r="BI84" i="1"/>
  <c r="D85" i="1"/>
  <c r="D84" i="1"/>
  <c r="E85" i="1"/>
  <c r="E84" i="1"/>
  <c r="E39" i="1" s="1"/>
  <c r="F85" i="1"/>
  <c r="F84" i="1"/>
  <c r="F39" i="1" s="1"/>
  <c r="G85" i="1"/>
  <c r="G84" i="1"/>
  <c r="H85" i="1"/>
  <c r="H84" i="1"/>
  <c r="H39" i="1" s="1"/>
  <c r="I85" i="1"/>
  <c r="I84" i="1"/>
  <c r="I39" i="1" s="1"/>
  <c r="J85" i="1"/>
  <c r="J84" i="1"/>
  <c r="J39" i="1" s="1"/>
  <c r="K85" i="1"/>
  <c r="K84" i="1"/>
  <c r="K39" i="1" s="1"/>
  <c r="L85" i="1"/>
  <c r="L84" i="1"/>
  <c r="L39" i="1" s="1"/>
  <c r="M84" i="1"/>
  <c r="M85" i="1"/>
  <c r="N85" i="1"/>
  <c r="N84" i="1"/>
  <c r="N39" i="1" s="1"/>
  <c r="O85" i="1"/>
  <c r="O84" i="1"/>
  <c r="P85" i="1"/>
  <c r="P84" i="1"/>
  <c r="Q85" i="1"/>
  <c r="Q84" i="1"/>
  <c r="R85" i="1"/>
  <c r="R84" i="1"/>
  <c r="S85" i="1"/>
  <c r="S84" i="1"/>
  <c r="BK85" i="1"/>
  <c r="BK84" i="1"/>
  <c r="BL85" i="1"/>
  <c r="BL84" i="1"/>
  <c r="BM85" i="1"/>
  <c r="BM84" i="1"/>
  <c r="BN85" i="1"/>
  <c r="BN84" i="1"/>
  <c r="BO85" i="1"/>
  <c r="BO84" i="1"/>
  <c r="BP85" i="1"/>
  <c r="BP84" i="1"/>
  <c r="BQ85" i="1"/>
  <c r="BQ84" i="1"/>
  <c r="BR85" i="1"/>
  <c r="BR84" i="1"/>
  <c r="BS85" i="1"/>
  <c r="BS84" i="1"/>
  <c r="BT85" i="1"/>
  <c r="BT84" i="1"/>
  <c r="BU85" i="1"/>
  <c r="BU84" i="1"/>
  <c r="BV85" i="1"/>
  <c r="BV84" i="1"/>
  <c r="BW85" i="1"/>
  <c r="BW84" i="1"/>
  <c r="BX85" i="1"/>
  <c r="BX84" i="1"/>
  <c r="BY85" i="1"/>
  <c r="BY84" i="1"/>
  <c r="BZ85" i="1"/>
  <c r="BZ84" i="1"/>
  <c r="CA85" i="1"/>
  <c r="CA84" i="1"/>
  <c r="CA39" i="1" s="1"/>
  <c r="CB85" i="1"/>
  <c r="CB84" i="1"/>
  <c r="CC85" i="1"/>
  <c r="CC84" i="1"/>
  <c r="CD85" i="1"/>
  <c r="CD84" i="1"/>
  <c r="CE85" i="1"/>
  <c r="CE84" i="1"/>
  <c r="CF85" i="1"/>
  <c r="CF84" i="1"/>
  <c r="CG85" i="1"/>
  <c r="CG84" i="1"/>
  <c r="CH85" i="1"/>
  <c r="CH84" i="1"/>
  <c r="CI85" i="1"/>
  <c r="CI84" i="1"/>
  <c r="CJ85" i="1"/>
  <c r="CJ84" i="1"/>
  <c r="CK85" i="1"/>
  <c r="CK84" i="1"/>
  <c r="CL85" i="1"/>
  <c r="CL84" i="1"/>
  <c r="CM85" i="1"/>
  <c r="CM84" i="1"/>
  <c r="CO85" i="1"/>
  <c r="CO84" i="1"/>
  <c r="CP85" i="1"/>
  <c r="CP84" i="1"/>
  <c r="CQ85" i="1"/>
  <c r="CQ84" i="1"/>
  <c r="CG111" i="1"/>
  <c r="AT32" i="1"/>
  <c r="CQ32" i="1"/>
  <c r="CQ39" i="1" s="1"/>
  <c r="BF32" i="1"/>
  <c r="CD32" i="1"/>
  <c r="CD39" i="1" s="1"/>
  <c r="CP32" i="1"/>
  <c r="CP39" i="1" s="1"/>
  <c r="BS32" i="1"/>
  <c r="BS39" i="1" s="1"/>
  <c r="BR32" i="1"/>
  <c r="BR39" i="1" s="1"/>
  <c r="CE32" i="1"/>
  <c r="CE39" i="1" s="1"/>
  <c r="AM111" i="1"/>
  <c r="AY111" i="1"/>
  <c r="AN111" i="1"/>
  <c r="BL111" i="1"/>
  <c r="BP32" i="1"/>
  <c r="BP39" i="1" s="1"/>
  <c r="CN32" i="1"/>
  <c r="CN39" i="1" s="1"/>
  <c r="AP111" i="1"/>
  <c r="BK111" i="1"/>
  <c r="AZ111" i="1"/>
  <c r="CB32" i="1"/>
  <c r="BT32" i="1"/>
  <c r="BT86" i="1" s="1"/>
  <c r="CF32" i="1"/>
  <c r="CG32" i="1"/>
  <c r="BU32" i="1"/>
  <c r="BE111" i="1"/>
  <c r="BF111" i="1"/>
  <c r="CB86" i="1"/>
  <c r="BP86" i="1"/>
  <c r="AR111" i="1"/>
  <c r="AT111" i="1"/>
  <c r="AS111" i="1"/>
  <c r="BV32" i="1"/>
  <c r="CH32" i="1"/>
  <c r="CH39" i="1" s="1"/>
  <c r="CN86" i="1"/>
  <c r="AU32" i="1"/>
  <c r="H111" i="1"/>
  <c r="T111" i="1"/>
  <c r="M111" i="1"/>
  <c r="BH32" i="1"/>
  <c r="BH39" i="1" s="1"/>
  <c r="BQ32" i="1"/>
  <c r="BQ39" i="1" s="1"/>
  <c r="CC32" i="1"/>
  <c r="CO32" i="1"/>
  <c r="BQ111" i="1"/>
  <c r="CC111" i="1"/>
  <c r="CO111" i="1"/>
  <c r="BV111" i="1"/>
  <c r="CH111" i="1"/>
  <c r="I111" i="1"/>
  <c r="U111" i="1"/>
  <c r="AG111" i="1"/>
  <c r="N111" i="1"/>
  <c r="Z111" i="1"/>
  <c r="BR111" i="1"/>
  <c r="CD111" i="1"/>
  <c r="CP111" i="1"/>
  <c r="BW111" i="1"/>
  <c r="CI111" i="1"/>
  <c r="G111" i="1"/>
  <c r="BG32" i="1"/>
  <c r="BG39" i="1" s="1"/>
  <c r="CB111" i="1"/>
  <c r="CN111" i="1"/>
  <c r="Y111" i="1"/>
  <c r="J111" i="1"/>
  <c r="V111" i="1"/>
  <c r="AH111" i="1"/>
  <c r="O111" i="1"/>
  <c r="AA111" i="1"/>
  <c r="BS111" i="1"/>
  <c r="CE111" i="1"/>
  <c r="CQ111" i="1"/>
  <c r="BX111" i="1"/>
  <c r="CJ111" i="1"/>
  <c r="S111" i="1"/>
  <c r="AI32" i="1"/>
  <c r="BP111" i="1"/>
  <c r="AF111" i="1"/>
  <c r="K111" i="1"/>
  <c r="W111" i="1"/>
  <c r="BT111" i="1"/>
  <c r="CF111" i="1"/>
  <c r="BM111" i="1"/>
  <c r="BY111" i="1"/>
  <c r="CK111" i="1"/>
  <c r="BU111" i="1"/>
  <c r="BN111" i="1"/>
  <c r="BZ111" i="1"/>
  <c r="CL111" i="1"/>
  <c r="AJ32" i="1"/>
  <c r="BX32" i="1"/>
  <c r="BX39" i="1" s="1"/>
  <c r="CJ32" i="1"/>
  <c r="CJ39" i="1" s="1"/>
  <c r="AI86" i="1"/>
  <c r="BG86" i="1"/>
  <c r="BM32" i="1"/>
  <c r="CK32" i="1"/>
  <c r="CK39" i="1" s="1"/>
  <c r="AV32" i="1"/>
  <c r="AV39" i="1" s="1"/>
  <c r="AJ86" i="1"/>
  <c r="AV86" i="1"/>
  <c r="BH86" i="1"/>
  <c r="AI111" i="1"/>
  <c r="AU111" i="1"/>
  <c r="BG111" i="1"/>
  <c r="AO111" i="1"/>
  <c r="BA111" i="1"/>
  <c r="BN32" i="1"/>
  <c r="BZ32" i="1"/>
  <c r="BZ86" i="1" s="1"/>
  <c r="CL32" i="1"/>
  <c r="CC86" i="1"/>
  <c r="AR32" i="1"/>
  <c r="BD32" i="1"/>
  <c r="BD39" i="1" s="1"/>
  <c r="AR86" i="1"/>
  <c r="BD86" i="1"/>
  <c r="AK111" i="1"/>
  <c r="AW111" i="1"/>
  <c r="BI111" i="1"/>
  <c r="AQ111" i="1"/>
  <c r="BC111" i="1"/>
  <c r="BS86" i="1"/>
  <c r="CE86" i="1"/>
  <c r="CQ86" i="1"/>
  <c r="BX86" i="1"/>
  <c r="CJ86" i="1"/>
  <c r="L111" i="1"/>
  <c r="X111" i="1"/>
  <c r="BW32" i="1"/>
  <c r="BW39" i="1" s="1"/>
  <c r="CI32" i="1"/>
  <c r="CI39" i="1" s="1"/>
  <c r="BY32" i="1"/>
  <c r="BY39" i="1" s="1"/>
  <c r="BQ86" i="1"/>
  <c r="CO86" i="1"/>
  <c r="CH86" i="1"/>
  <c r="AJ111" i="1"/>
  <c r="AV111" i="1"/>
  <c r="BH111" i="1"/>
  <c r="BB111" i="1"/>
  <c r="BO32" i="1"/>
  <c r="CA32" i="1"/>
  <c r="CM32" i="1"/>
  <c r="BR86" i="1"/>
  <c r="CD86" i="1"/>
  <c r="CP86" i="1"/>
  <c r="BW86" i="1"/>
  <c r="CI86" i="1"/>
  <c r="AS32" i="1"/>
  <c r="AS86" i="1" s="1"/>
  <c r="BE32" i="1"/>
  <c r="AL111" i="1"/>
  <c r="AX111" i="1"/>
  <c r="BJ111" i="1"/>
  <c r="BD111" i="1"/>
  <c r="BM86" i="1"/>
  <c r="BY86" i="1"/>
  <c r="CK86" i="1"/>
  <c r="BO111" i="1"/>
  <c r="CA111" i="1"/>
  <c r="CM111" i="1"/>
  <c r="CA86" i="1"/>
  <c r="Q86" i="1"/>
  <c r="AP32" i="1"/>
  <c r="AP86" i="1" s="1"/>
  <c r="BB32" i="1"/>
  <c r="BB86" i="1" s="1"/>
  <c r="AK32" i="1"/>
  <c r="AK86" i="1" s="1"/>
  <c r="AW32" i="1"/>
  <c r="BI32" i="1"/>
  <c r="AQ32" i="1"/>
  <c r="AQ86" i="1" s="1"/>
  <c r="BC32" i="1"/>
  <c r="D111" i="1"/>
  <c r="P111" i="1"/>
  <c r="AB111" i="1"/>
  <c r="AL32" i="1"/>
  <c r="AL86" i="1" s="1"/>
  <c r="AX32" i="1"/>
  <c r="BJ32" i="1"/>
  <c r="Q111" i="1"/>
  <c r="F111" i="1"/>
  <c r="R111" i="1"/>
  <c r="AD111" i="1"/>
  <c r="AN32" i="1"/>
  <c r="AN86" i="1" s="1"/>
  <c r="AZ32" i="1"/>
  <c r="AZ86" i="1" s="1"/>
  <c r="BL32" i="1"/>
  <c r="E111" i="1"/>
  <c r="AC111" i="1"/>
  <c r="AM32" i="1"/>
  <c r="AY32" i="1"/>
  <c r="AY86" i="1" s="1"/>
  <c r="BK32" i="1"/>
  <c r="AE111" i="1"/>
  <c r="AO32" i="1"/>
  <c r="AO86" i="1" s="1"/>
  <c r="BA32" i="1"/>
  <c r="BA86" i="1" s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G39" i="1" l="1"/>
  <c r="CC39" i="1"/>
  <c r="CO39" i="1"/>
  <c r="AX86" i="1"/>
  <c r="CG39" i="1"/>
  <c r="CG86" i="1"/>
  <c r="BU39" i="1"/>
  <c r="BU86" i="1"/>
  <c r="BV39" i="1"/>
  <c r="BV86" i="1"/>
  <c r="AU39" i="1"/>
  <c r="AU86" i="1"/>
  <c r="BE39" i="1"/>
  <c r="BE86" i="1"/>
  <c r="BK39" i="1"/>
  <c r="BK86" i="1"/>
  <c r="AM39" i="1"/>
  <c r="AM86" i="1"/>
  <c r="BL39" i="1"/>
  <c r="BL86" i="1"/>
  <c r="BJ39" i="1"/>
  <c r="BJ86" i="1"/>
  <c r="BC39" i="1"/>
  <c r="BC86" i="1"/>
  <c r="BI39" i="1"/>
  <c r="BI86" i="1"/>
  <c r="AW39" i="1"/>
  <c r="AW86" i="1"/>
  <c r="CM39" i="1"/>
  <c r="CM86" i="1"/>
  <c r="BO39" i="1"/>
  <c r="BO86" i="1"/>
  <c r="CL39" i="1"/>
  <c r="CL86" i="1"/>
  <c r="BN39" i="1"/>
  <c r="BN86" i="1"/>
  <c r="CF39" i="1"/>
  <c r="CF86" i="1"/>
  <c r="M39" i="1"/>
  <c r="BF86" i="1"/>
  <c r="AT86" i="1"/>
  <c r="D39" i="1"/>
  <c r="N32" i="1"/>
  <c r="N86" i="1" s="1"/>
  <c r="Z32" i="1"/>
  <c r="Z86" i="1" s="1"/>
  <c r="D32" i="1"/>
  <c r="D86" i="1" s="1"/>
  <c r="P32" i="1"/>
  <c r="P86" i="1" s="1"/>
  <c r="AB32" i="1"/>
  <c r="AB86" i="1" s="1"/>
  <c r="E32" i="1"/>
  <c r="E86" i="1" s="1"/>
  <c r="AC32" i="1"/>
  <c r="AC86" i="1" s="1"/>
  <c r="F32" i="1"/>
  <c r="F86" i="1" s="1"/>
  <c r="R32" i="1"/>
  <c r="R86" i="1" s="1"/>
  <c r="AD32" i="1"/>
  <c r="AD86" i="1" s="1"/>
  <c r="O32" i="1"/>
  <c r="O86" i="1" s="1"/>
  <c r="AA32" i="1"/>
  <c r="AA86" i="1" s="1"/>
  <c r="Q32" i="1"/>
  <c r="G32" i="1"/>
  <c r="G86" i="1" s="1"/>
  <c r="S32" i="1"/>
  <c r="S86" i="1" s="1"/>
  <c r="AE32" i="1"/>
  <c r="H32" i="1"/>
  <c r="H86" i="1" s="1"/>
  <c r="T32" i="1"/>
  <c r="T86" i="1" s="1"/>
  <c r="AF32" i="1"/>
  <c r="AF86" i="1" s="1"/>
  <c r="I32" i="1"/>
  <c r="I86" i="1" s="1"/>
  <c r="U32" i="1"/>
  <c r="U86" i="1" s="1"/>
  <c r="AG32" i="1"/>
  <c r="AG86" i="1" s="1"/>
  <c r="J32" i="1"/>
  <c r="J86" i="1" s="1"/>
  <c r="V32" i="1"/>
  <c r="V86" i="1" s="1"/>
  <c r="AH32" i="1"/>
  <c r="AH86" i="1" s="1"/>
  <c r="K32" i="1"/>
  <c r="K86" i="1" s="1"/>
  <c r="W32" i="1"/>
  <c r="W86" i="1" s="1"/>
  <c r="L32" i="1"/>
  <c r="L86" i="1" s="1"/>
  <c r="X32" i="1"/>
  <c r="X86" i="1" s="1"/>
  <c r="M32" i="1"/>
  <c r="M86" i="1" s="1"/>
  <c r="Y32" i="1"/>
  <c r="Y86" i="1" s="1"/>
  <c r="AE86" i="1" l="1"/>
  <c r="E27" i="1" l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José María García Di Nesta</author>
    <author>Gustavo Guillermo Palladino</author>
    <author>WEBER Federico</author>
    <author>Alexandra Veronica Maslauskas</author>
  </authors>
  <commentList>
    <comment ref="AG13" authorId="0" shapeId="0" xr:uid="{A987F267-949C-4217-9939-CCFAAF6ADF1B}">
      <text>
        <r>
          <rPr>
            <b/>
            <sz val="12"/>
            <color indexed="81"/>
            <rFont val="Tahoma"/>
            <family val="2"/>
          </rPr>
          <t>TOTAL- CAlfa</t>
        </r>
        <r>
          <rPr>
            <sz val="12"/>
            <color indexed="81"/>
            <rFont val="Tahoma"/>
            <family val="2"/>
          </rPr>
          <t xml:space="preserve">
34-TEK-601C + lavado y Boro SOLAR</t>
        </r>
      </text>
    </comment>
    <comment ref="AI13" authorId="0" shapeId="0" xr:uid="{FE7D40E6-E23C-4247-A23A-8DB80B30FDBD}">
      <text>
        <r>
          <rPr>
            <b/>
            <sz val="12"/>
            <color indexed="81"/>
            <rFont val="Tahoma"/>
            <family val="2"/>
          </rPr>
          <t>TOTAL- CAlfa</t>
        </r>
        <r>
          <rPr>
            <sz val="12"/>
            <color indexed="81"/>
            <rFont val="Tahoma"/>
            <family val="2"/>
          </rPr>
          <t xml:space="preserve">
34-TEK-601C
LP</t>
        </r>
      </text>
    </comment>
    <comment ref="AK13" authorId="0" shapeId="0" xr:uid="{49DC43ED-13FF-4824-93B8-A412A7F6203B}">
      <text>
        <r>
          <rPr>
            <b/>
            <sz val="12"/>
            <color indexed="81"/>
            <rFont val="Tahoma"/>
            <family val="2"/>
          </rPr>
          <t>TOTAL- CAlfa</t>
        </r>
        <r>
          <rPr>
            <sz val="12"/>
            <color indexed="81"/>
            <rFont val="Tahoma"/>
            <family val="2"/>
          </rPr>
          <t xml:space="preserve">
34-TEK-601C
LP</t>
        </r>
      </text>
    </comment>
    <comment ref="AO13" authorId="0" shapeId="0" xr:uid="{E6CAB25A-68BE-4440-9EA4-31ACE9716680}">
      <text>
        <r>
          <rPr>
            <b/>
            <sz val="12"/>
            <color indexed="81"/>
            <rFont val="Tahoma"/>
            <family val="2"/>
          </rPr>
          <t>TOTAL- CAlfa</t>
        </r>
        <r>
          <rPr>
            <sz val="12"/>
            <color indexed="81"/>
            <rFont val="Tahoma"/>
            <family val="2"/>
          </rPr>
          <t xml:space="preserve">
34-TEK-601C
LP</t>
        </r>
      </text>
    </comment>
    <comment ref="AQ13" authorId="0" shapeId="0" xr:uid="{0D4D4C43-09BD-4814-AC2A-DAED296CBC1C}">
      <text>
        <r>
          <rPr>
            <b/>
            <sz val="12"/>
            <color indexed="81"/>
            <rFont val="Tahoma"/>
            <family val="2"/>
          </rPr>
          <t>TOTAL- CAlfa</t>
        </r>
        <r>
          <rPr>
            <sz val="12"/>
            <color indexed="81"/>
            <rFont val="Tahoma"/>
            <family val="2"/>
          </rPr>
          <t xml:space="preserve">
31-TEK-201D
MP</t>
        </r>
      </text>
    </comment>
    <comment ref="AR13" authorId="0" shapeId="0" xr:uid="{353DF530-83D0-4AEB-9161-69BDC2768991}">
      <text>
        <r>
          <rPr>
            <b/>
            <sz val="12"/>
            <color indexed="81"/>
            <rFont val="Tahoma"/>
            <family val="2"/>
          </rPr>
          <t>TOTAL- CAlfa</t>
        </r>
        <r>
          <rPr>
            <sz val="12"/>
            <color indexed="81"/>
            <rFont val="Tahoma"/>
            <family val="2"/>
          </rPr>
          <t xml:space="preserve">
31-TEK-201D
MP</t>
        </r>
      </text>
    </comment>
    <comment ref="AS13" authorId="0" shapeId="0" xr:uid="{D6985822-452C-499B-80E2-8D5A9DF4647C}">
      <text>
        <r>
          <rPr>
            <b/>
            <sz val="12"/>
            <color indexed="81"/>
            <rFont val="Tahoma"/>
            <family val="2"/>
          </rPr>
          <t>TOTAL- CAlfa</t>
        </r>
        <r>
          <rPr>
            <sz val="12"/>
            <color indexed="81"/>
            <rFont val="Tahoma"/>
            <family val="2"/>
          </rPr>
          <t xml:space="preserve">
31-TEK-201D
MP</t>
        </r>
      </text>
    </comment>
    <comment ref="Q38" authorId="0" shapeId="0" xr:uid="{F23DEFB1-F821-4E1C-9E7C-D8AF125198CA}">
      <text>
        <r>
          <rPr>
            <b/>
            <sz val="10"/>
            <color indexed="81"/>
            <rFont val="Tahoma"/>
            <family val="2"/>
          </rPr>
          <t>Planta Fortin I</t>
        </r>
        <r>
          <rPr>
            <sz val="10"/>
            <color indexed="81"/>
            <rFont val="Tahoma"/>
            <family val="2"/>
          </rPr>
          <t xml:space="preserve">
Instalación Tableros de Válvulas Succión y Descarga
2 días
Impacto 2 MM/D</t>
        </r>
      </text>
    </comment>
    <comment ref="R38" authorId="0" shapeId="0" xr:uid="{A7920D34-433C-4C9B-A734-F54233B6045C}">
      <text>
        <r>
          <rPr>
            <b/>
            <sz val="10"/>
            <color indexed="81"/>
            <rFont val="Tahoma"/>
            <family val="2"/>
          </rPr>
          <t>Planta Fortin I</t>
        </r>
        <r>
          <rPr>
            <sz val="10"/>
            <color indexed="81"/>
            <rFont val="Tahoma"/>
            <family val="2"/>
          </rPr>
          <t xml:space="preserve">
Instalación Tableros de Válvulas Succión y Descarga
2 días
Impacto 2 MM/D</t>
        </r>
      </text>
    </comment>
    <comment ref="S38" authorId="0" shapeId="0" xr:uid="{6227033B-6C9D-41D3-A20D-0E3C7D11E4B4}">
      <text>
        <r>
          <rPr>
            <sz val="10"/>
            <color indexed="81"/>
            <rFont val="Tahoma"/>
            <family val="2"/>
          </rPr>
          <t>Corridas de Scrapper en Gto NII
Pasaje La Adela-Cerri
1 días
Impacto 5 MM/D</t>
        </r>
      </text>
    </comment>
    <comment ref="V38" authorId="0" shapeId="0" xr:uid="{EA05D743-F14E-41C4-90B4-4985B1EBF293}">
      <text>
        <r>
          <rPr>
            <sz val="11"/>
            <color theme="1"/>
            <rFont val="Aptos Narrow"/>
            <family val="2"/>
            <scheme val="minor"/>
          </rPr>
          <t>PC Gaviotas
Hot Taps por nueva lógica de Pta.
Cambio de Válvulas previo a Retrofit de Pta. 
Duracion: 1 dia</t>
        </r>
      </text>
    </comment>
    <comment ref="AC38" authorId="0" shapeId="0" xr:uid="{0DD1C289-598A-490D-AC40-D630BCDA4C9F}">
      <text>
        <r>
          <rPr>
            <b/>
            <sz val="10"/>
            <color indexed="81"/>
            <rFont val="Tahoma"/>
            <family val="2"/>
          </rPr>
          <t>Planta Gaviotas</t>
        </r>
        <r>
          <rPr>
            <sz val="10"/>
            <color indexed="81"/>
            <rFont val="Tahoma"/>
            <family val="2"/>
          </rPr>
          <t xml:space="preserve">
Actualizac de Válvulas por nueva lógica de Planta
6 días
Impacto 2 MM/D</t>
        </r>
      </text>
    </comment>
    <comment ref="AD38" authorId="0" shapeId="0" xr:uid="{206CF818-05E6-4C8E-9DDA-208998D93AA6}">
      <text>
        <r>
          <rPr>
            <b/>
            <sz val="10"/>
            <color indexed="81"/>
            <rFont val="Tahoma"/>
            <family val="2"/>
          </rPr>
          <t>Planta Gaviotas</t>
        </r>
        <r>
          <rPr>
            <sz val="10"/>
            <color indexed="81"/>
            <rFont val="Tahoma"/>
            <family val="2"/>
          </rPr>
          <t xml:space="preserve">
Actualizac de Válvulas por nueva lógica de Planta
6 días
Impacto 2 MM/D</t>
        </r>
      </text>
    </comment>
    <comment ref="AE38" authorId="0" shapeId="0" xr:uid="{9E93E913-03AC-40CD-B38C-42960841240D}">
      <text>
        <r>
          <rPr>
            <b/>
            <sz val="10"/>
            <color indexed="81"/>
            <rFont val="Tahoma"/>
            <family val="2"/>
          </rPr>
          <t>Planta Gaviotas</t>
        </r>
        <r>
          <rPr>
            <sz val="10"/>
            <color indexed="81"/>
            <rFont val="Tahoma"/>
            <family val="2"/>
          </rPr>
          <t xml:space="preserve">
Actualizac de Válvulas por nueva lógica de Planta
6 días
Impacto 2 MM/D</t>
        </r>
      </text>
    </comment>
    <comment ref="AF38" authorId="0" shapeId="0" xr:uid="{6D3C9D40-F180-4DC5-A374-E6AD57E40EC7}">
      <text>
        <r>
          <rPr>
            <b/>
            <sz val="10"/>
            <color indexed="81"/>
            <rFont val="Tahoma"/>
            <family val="2"/>
          </rPr>
          <t>Planta Gaviotas</t>
        </r>
        <r>
          <rPr>
            <sz val="10"/>
            <color indexed="81"/>
            <rFont val="Tahoma"/>
            <family val="2"/>
          </rPr>
          <t xml:space="preserve">
Actualizac de Válvulas por nueva lógica de Planta
6 días
Impacto 2 MM/D</t>
        </r>
      </text>
    </comment>
    <comment ref="AG38" authorId="0" shapeId="0" xr:uid="{B5FE6090-0701-4D1C-B7DA-F6DF64FE303A}">
      <text>
        <r>
          <rPr>
            <b/>
            <sz val="10"/>
            <color indexed="81"/>
            <rFont val="Tahoma"/>
            <family val="2"/>
          </rPr>
          <t>Planta Gaviotas</t>
        </r>
        <r>
          <rPr>
            <sz val="10"/>
            <color indexed="81"/>
            <rFont val="Tahoma"/>
            <family val="2"/>
          </rPr>
          <t xml:space="preserve">
Actualizac de Válvulas por nueva lógica de Planta
6 días
Impacto 2 MM/D</t>
        </r>
      </text>
    </comment>
    <comment ref="AH38" authorId="0" shapeId="0" xr:uid="{2557D2E0-2E50-4808-9909-A163D35457C5}">
      <text>
        <r>
          <rPr>
            <b/>
            <sz val="10"/>
            <color indexed="81"/>
            <rFont val="Tahoma"/>
            <family val="2"/>
          </rPr>
          <t>Planta Gaviotas</t>
        </r>
        <r>
          <rPr>
            <sz val="10"/>
            <color indexed="81"/>
            <rFont val="Tahoma"/>
            <family val="2"/>
          </rPr>
          <t xml:space="preserve">
Actualizac de Válvulas por nueva lógica de Planta
6 días
Impacto 2 MM/D</t>
        </r>
      </text>
    </comment>
    <comment ref="AL38" authorId="0" shapeId="0" xr:uid="{9CB92710-4812-4E52-8B5C-5DD4FAE9D845}">
      <text>
        <r>
          <rPr>
            <sz val="10"/>
            <color indexed="81"/>
            <rFont val="Tahoma"/>
            <family val="2"/>
          </rPr>
          <t xml:space="preserve">Cambio de Niple Chelforó - Fortín I. 
1 Día 
Impacto 9,5 MM/D
</t>
        </r>
      </text>
    </comment>
    <comment ref="AN38" authorId="0" shapeId="0" xr:uid="{11697FFC-2C0C-4FF2-88D5-13828F061CC4}">
      <text>
        <r>
          <rPr>
            <sz val="11"/>
            <color theme="1"/>
            <rFont val="Aptos Narrow"/>
            <family val="2"/>
            <scheme val="minor"/>
          </rPr>
          <t xml:space="preserve">Corridas de Scrapper en Gtos NI y NII
Tramo La Belisle - Adela
Más de una limpieza
Impacto 3 MM
</t>
        </r>
      </text>
    </comment>
    <comment ref="AO38" authorId="0" shapeId="0" xr:uid="{9E3AB1F0-1462-4081-95EA-51EAD71BB673}">
      <text>
        <r>
          <rPr>
            <b/>
            <sz val="10"/>
            <color indexed="81"/>
            <rFont val="Tahoma"/>
            <family val="2"/>
          </rPr>
          <t>Planta La Adela</t>
        </r>
        <r>
          <rPr>
            <sz val="10"/>
            <color indexed="81"/>
            <rFont val="Tahoma"/>
            <family val="2"/>
          </rPr>
          <t xml:space="preserve">
Paro de PJ1 + Mttos Asociados
3 días
Impacto 6MM/D</t>
        </r>
      </text>
    </comment>
    <comment ref="AP38" authorId="0" shapeId="0" xr:uid="{07B1B6F5-327E-48C5-8255-233F02724122}">
      <text>
        <r>
          <rPr>
            <sz val="11"/>
            <color theme="1"/>
            <rFont val="Aptos Narrow"/>
            <family val="2"/>
            <scheme val="minor"/>
          </rPr>
          <t>Planta La Adela
Paro de PJ1 + Mttos Asociados
3 días
Impacto 6MM/D</t>
        </r>
      </text>
    </comment>
    <comment ref="AQ38" authorId="0" shapeId="0" xr:uid="{31736840-835D-4F22-AB8A-002F63D75C32}">
      <text>
        <r>
          <rPr>
            <b/>
            <sz val="10"/>
            <color indexed="81"/>
            <rFont val="Tahoma"/>
            <family val="2"/>
          </rPr>
          <t>Planta La Adela</t>
        </r>
        <r>
          <rPr>
            <sz val="10"/>
            <color indexed="81"/>
            <rFont val="Tahoma"/>
            <family val="2"/>
          </rPr>
          <t xml:space="preserve">
Paro de PJ1 + Mttos Asociados
3 días
Impacto 6MM/D</t>
        </r>
      </text>
    </comment>
    <comment ref="AT38" authorId="0" shapeId="0" xr:uid="{7EE9D103-40C4-4183-BAD1-D9AC602831F6}">
      <text>
        <r>
          <rPr>
            <sz val="10"/>
            <color indexed="81"/>
            <rFont val="Tahoma"/>
            <family val="2"/>
          </rPr>
          <t xml:space="preserve">Cambio de Niple Fortín I - Gaviotas. 
2 Día 
Impacto 9,5 MM/D
</t>
        </r>
      </text>
    </comment>
    <comment ref="AU38" authorId="0" shapeId="0" xr:uid="{0CF2C717-47B6-48A2-9159-7D5F4B18CB46}">
      <text>
        <r>
          <rPr>
            <sz val="10"/>
            <color indexed="81"/>
            <rFont val="Tahoma"/>
            <family val="2"/>
          </rPr>
          <t xml:space="preserve">Cambio de Niple Chelforó - Fortín I. 
1 Día 
Impacto 9,5 MM/D
</t>
        </r>
      </text>
    </comment>
    <comment ref="AX38" authorId="0" shapeId="0" xr:uid="{CF868916-7301-417C-9E91-D167E65011FB}">
      <text>
        <r>
          <rPr>
            <b/>
            <sz val="10"/>
            <color indexed="81"/>
            <rFont val="Tahoma"/>
            <family val="2"/>
          </rPr>
          <t>Planta Belisle</t>
        </r>
        <r>
          <rPr>
            <sz val="10"/>
            <color indexed="81"/>
            <rFont val="Tahoma"/>
            <family val="2"/>
          </rPr>
          <t xml:space="preserve">
Paro Anual - Planta
3 días
Impacto 4MM/D</t>
        </r>
      </text>
    </comment>
    <comment ref="AY38" authorId="0" shapeId="0" xr:uid="{C8D327B2-947A-44F6-9D96-6B4ED54C8D34}">
      <text>
        <r>
          <rPr>
            <b/>
            <sz val="10"/>
            <color indexed="81"/>
            <rFont val="Tahoma"/>
            <family val="2"/>
          </rPr>
          <t>Planta Belisle</t>
        </r>
        <r>
          <rPr>
            <sz val="10"/>
            <color indexed="81"/>
            <rFont val="Tahoma"/>
            <family val="2"/>
          </rPr>
          <t xml:space="preserve">
Paro Anual - Planta
3 días
Impacto 4MM/D</t>
        </r>
      </text>
    </comment>
    <comment ref="AZ38" authorId="0" shapeId="0" xr:uid="{CFD00BA3-CCDB-49D6-B63C-7A83183E5C30}">
      <text>
        <r>
          <rPr>
            <b/>
            <sz val="10"/>
            <color indexed="81"/>
            <rFont val="Tahoma"/>
            <family val="2"/>
          </rPr>
          <t>Planta Belisle</t>
        </r>
        <r>
          <rPr>
            <sz val="10"/>
            <color indexed="81"/>
            <rFont val="Tahoma"/>
            <family val="2"/>
          </rPr>
          <t xml:space="preserve">
Paro Anual - Planta
3 días
Impacto 4MM/D</t>
        </r>
      </text>
    </comment>
    <comment ref="BA38" authorId="0" shapeId="0" xr:uid="{601D296B-1303-46AA-AA51-AA89E62B32AE}">
      <text>
        <r>
          <rPr>
            <sz val="11"/>
            <color theme="1"/>
            <rFont val="Aptos Narrow"/>
            <family val="2"/>
            <scheme val="minor"/>
          </rPr>
          <t xml:space="preserve">Cambio de Niple Gaviotas - Cerri. 
2 Días
Impacto 7 MM/D
</t>
        </r>
      </text>
    </comment>
    <comment ref="BB38" authorId="0" shapeId="0" xr:uid="{7C749ED3-63C3-44CC-8511-CE7D9F080C66}">
      <text>
        <r>
          <rPr>
            <sz val="11"/>
            <color theme="1"/>
            <rFont val="Aptos Narrow"/>
            <family val="2"/>
            <scheme val="minor"/>
          </rPr>
          <t xml:space="preserve">Cambio de Niple Gaviotas - Cerri. 
2 Días
Impacto 7 MM/D
</t>
        </r>
      </text>
    </comment>
    <comment ref="BE38" authorId="0" shapeId="0" xr:uid="{CCE54592-146E-41A2-AF0F-56AE62A54E71}">
      <text>
        <r>
          <rPr>
            <b/>
            <sz val="10"/>
            <color indexed="81"/>
            <rFont val="Tahoma"/>
            <family val="2"/>
          </rPr>
          <t>Planta La Adela</t>
        </r>
        <r>
          <rPr>
            <sz val="10"/>
            <color indexed="81"/>
            <rFont val="Tahoma"/>
            <family val="2"/>
          </rPr>
          <t xml:space="preserve">
Mttos Varios
2 días
Impacto 3,8MM/D</t>
        </r>
      </text>
    </comment>
    <comment ref="BF38" authorId="0" shapeId="0" xr:uid="{43C29510-4798-4991-B2D4-12138A9BB1CB}">
      <text>
        <r>
          <rPr>
            <b/>
            <sz val="10"/>
            <color indexed="81"/>
            <rFont val="Tahoma"/>
            <family val="2"/>
          </rPr>
          <t>Planta La Adela</t>
        </r>
        <r>
          <rPr>
            <sz val="10"/>
            <color indexed="81"/>
            <rFont val="Tahoma"/>
            <family val="2"/>
          </rPr>
          <t xml:space="preserve">
Mttos Varios
2 días
Impacto 3,8MM/D</t>
        </r>
      </text>
    </comment>
    <comment ref="BL38" authorId="0" shapeId="0" xr:uid="{9BDDFEC7-143B-4D4C-A109-9359E1FA3BBD}">
      <text>
        <r>
          <rPr>
            <b/>
            <sz val="10"/>
            <color indexed="81"/>
            <rFont val="Tahoma"/>
            <family val="2"/>
          </rPr>
          <t>Planta Cervantes</t>
        </r>
        <r>
          <rPr>
            <sz val="10"/>
            <color indexed="81"/>
            <rFont val="Tahoma"/>
            <family val="2"/>
          </rPr>
          <t xml:space="preserve">
Cambio de Módulo TC2
3 días
Impacto 4MM/D</t>
        </r>
      </text>
    </comment>
    <comment ref="BM38" authorId="0" shapeId="0" xr:uid="{87DA1684-D6F1-43E9-B95C-B2BB46CF521E}">
      <text>
        <r>
          <rPr>
            <b/>
            <sz val="10"/>
            <color indexed="81"/>
            <rFont val="Tahoma"/>
            <family val="2"/>
          </rPr>
          <t>Planta Cervantes</t>
        </r>
        <r>
          <rPr>
            <sz val="10"/>
            <color indexed="81"/>
            <rFont val="Tahoma"/>
            <family val="2"/>
          </rPr>
          <t xml:space="preserve">
Cambio de Módulo TC2
3 días
Impacto 4MM/D</t>
        </r>
      </text>
    </comment>
    <comment ref="BN38" authorId="0" shapeId="0" xr:uid="{65FDCF16-29FE-43DC-972A-30747C17CC47}">
      <text>
        <r>
          <rPr>
            <b/>
            <sz val="10"/>
            <color indexed="81"/>
            <rFont val="Tahoma"/>
            <family val="2"/>
          </rPr>
          <t>Planta Cervantes</t>
        </r>
        <r>
          <rPr>
            <sz val="10"/>
            <color indexed="81"/>
            <rFont val="Tahoma"/>
            <family val="2"/>
          </rPr>
          <t xml:space="preserve">
Cambio de Módulo TC2
3 días
Impacto 4MM/D</t>
        </r>
      </text>
    </comment>
    <comment ref="O40" authorId="0" shapeId="0" xr:uid="{932B1391-0668-4DE1-B81F-EB5B4BC7B42C}">
      <text>
        <r>
          <rPr>
            <b/>
            <sz val="10"/>
            <color indexed="81"/>
            <rFont val="Tahoma"/>
            <family val="2"/>
          </rPr>
          <t xml:space="preserve">PC Cochico
</t>
        </r>
        <r>
          <rPr>
            <sz val="10"/>
            <color indexed="81"/>
            <rFont val="Tahoma"/>
            <family val="2"/>
          </rPr>
          <t>Stopler gto troncal e instalacion de juntas de aislacion.
Solo compresion al gto paralelo
Duracion: 1 dia</t>
        </r>
      </text>
    </comment>
    <comment ref="P40" authorId="0" shapeId="0" xr:uid="{6A5A2C4E-0EEC-431E-A299-4C5F25BD0C0F}">
      <text>
        <r>
          <rPr>
            <b/>
            <sz val="10"/>
            <color indexed="81"/>
            <rFont val="Tahoma"/>
            <family val="2"/>
          </rPr>
          <t>PC La Mora</t>
        </r>
        <r>
          <rPr>
            <sz val="10"/>
            <color indexed="81"/>
            <rFont val="Tahoma"/>
            <family val="2"/>
          </rPr>
          <t xml:space="preserve">
Mtto anual mandatorio
2 dias PC F/S
3 dias con Taurus disponibles
Duracion: 5 dias
+
Cambio de modulo + escape M100
Duracion: 7 dias
+
</t>
        </r>
        <r>
          <rPr>
            <b/>
            <sz val="10"/>
            <color indexed="81"/>
            <rFont val="Tahoma"/>
            <family val="2"/>
          </rPr>
          <t>PC La Carlota</t>
        </r>
        <r>
          <rPr>
            <sz val="10"/>
            <color indexed="81"/>
            <rFont val="Tahoma"/>
            <family val="2"/>
          </rPr>
          <t xml:space="preserve">
Cambio de modulo TC03 + cambio de aero aceite
Duracion: 10 dias</t>
        </r>
      </text>
    </comment>
    <comment ref="Q40" authorId="0" shapeId="0" xr:uid="{179DC265-4ACE-4081-89D9-A0D687681E4A}">
      <text>
        <r>
          <rPr>
            <b/>
            <sz val="10"/>
            <color indexed="81"/>
            <rFont val="Tahoma"/>
            <family val="2"/>
          </rPr>
          <t>PC La Mora</t>
        </r>
        <r>
          <rPr>
            <sz val="10"/>
            <color indexed="81"/>
            <rFont val="Tahoma"/>
            <family val="2"/>
          </rPr>
          <t xml:space="preserve">
Mtto anual mandatorio
2 dias PC F/S
3 dias con Taurus disponibles
Duracion: 5 dias
+
Cambio de modulo + escape M100
Duracion: 7 dias
+
</t>
        </r>
        <r>
          <rPr>
            <b/>
            <sz val="10"/>
            <color indexed="81"/>
            <rFont val="Tahoma"/>
            <family val="2"/>
          </rPr>
          <t>PC La Carlota</t>
        </r>
        <r>
          <rPr>
            <sz val="10"/>
            <color indexed="81"/>
            <rFont val="Tahoma"/>
            <family val="2"/>
          </rPr>
          <t xml:space="preserve">
Cambio de modulo TC03 + cambio de aero aceite
Duracion: 10 dias</t>
        </r>
      </text>
    </comment>
    <comment ref="R40" authorId="0" shapeId="0" xr:uid="{B20F3E2A-9E45-4772-8928-171CE2C0922D}">
      <text>
        <r>
          <rPr>
            <b/>
            <sz val="10"/>
            <color indexed="81"/>
            <rFont val="Tahoma"/>
            <family val="2"/>
          </rPr>
          <t>PC La Mora</t>
        </r>
        <r>
          <rPr>
            <sz val="10"/>
            <color indexed="81"/>
            <rFont val="Tahoma"/>
            <family val="2"/>
          </rPr>
          <t xml:space="preserve">
Mtto anual mandatorio
2 dias PC F/S
3 dias con Taurus disponibles
Duracion: 5 dias
+
Cambio de modulo + escape M100
Duracion: 7 dias
+
</t>
        </r>
        <r>
          <rPr>
            <b/>
            <sz val="10"/>
            <color indexed="81"/>
            <rFont val="Tahoma"/>
            <family val="2"/>
          </rPr>
          <t>PC La Carlota</t>
        </r>
        <r>
          <rPr>
            <sz val="10"/>
            <color indexed="81"/>
            <rFont val="Tahoma"/>
            <family val="2"/>
          </rPr>
          <t xml:space="preserve">
Cambio de modulo TC03 + cambio de aero aceite
Duracion: 10 dias</t>
        </r>
      </text>
    </comment>
    <comment ref="S40" authorId="0" shapeId="0" xr:uid="{782E2E0B-D33F-4584-9CC5-2CCD5EB27809}">
      <text>
        <r>
          <rPr>
            <b/>
            <sz val="10"/>
            <color indexed="81"/>
            <rFont val="Tahoma"/>
            <family val="2"/>
          </rPr>
          <t>PC La Mora</t>
        </r>
        <r>
          <rPr>
            <sz val="10"/>
            <color indexed="81"/>
            <rFont val="Tahoma"/>
            <family val="2"/>
          </rPr>
          <t xml:space="preserve">
Mtto anual mandatorio
2 dias PC F/S
3 dias con Taurus disponibles
Duracion: 5 dias
+
Cambio de modulo + escape M100
Duracion: 7 dias
+
</t>
        </r>
        <r>
          <rPr>
            <b/>
            <sz val="10"/>
            <color indexed="81"/>
            <rFont val="Tahoma"/>
            <family val="2"/>
          </rPr>
          <t>PC La Carlota</t>
        </r>
        <r>
          <rPr>
            <sz val="10"/>
            <color indexed="81"/>
            <rFont val="Tahoma"/>
            <family val="2"/>
          </rPr>
          <t xml:space="preserve">
Cambio de modulo TC03 + cambio de aero aceite
Duracion: 10 dias</t>
        </r>
      </text>
    </comment>
    <comment ref="T40" authorId="0" shapeId="0" xr:uid="{AB8E7E35-14C3-4A57-A64C-B705637EEB9A}">
      <text>
        <r>
          <rPr>
            <b/>
            <sz val="10"/>
            <color indexed="81"/>
            <rFont val="Tahoma"/>
            <family val="2"/>
          </rPr>
          <t>PC La Mora</t>
        </r>
        <r>
          <rPr>
            <sz val="10"/>
            <color indexed="81"/>
            <rFont val="Tahoma"/>
            <family val="2"/>
          </rPr>
          <t xml:space="preserve">
Mtto anual mandatorio
2 dias PC F/S
3 dias con Taurus disponibles
Duracion: 5 dias
+
Cambio de modulo + escape M100
Duracion: 7 dias
+
</t>
        </r>
        <r>
          <rPr>
            <b/>
            <sz val="10"/>
            <color indexed="81"/>
            <rFont val="Tahoma"/>
            <family val="2"/>
          </rPr>
          <t>PC La Carlota</t>
        </r>
        <r>
          <rPr>
            <sz val="10"/>
            <color indexed="81"/>
            <rFont val="Tahoma"/>
            <family val="2"/>
          </rPr>
          <t xml:space="preserve">
Cambio de modulo TC03 + cambio de aero aceite
Duracion: 10 dias</t>
        </r>
      </text>
    </comment>
    <comment ref="U40" authorId="0" shapeId="0" xr:uid="{5550D783-5BB5-493E-B6FD-4D9A4AB19148}">
      <text>
        <r>
          <rPr>
            <b/>
            <sz val="10"/>
            <color indexed="81"/>
            <rFont val="Tahoma"/>
            <family val="2"/>
          </rPr>
          <t>PC La Mora</t>
        </r>
        <r>
          <rPr>
            <sz val="10"/>
            <color indexed="81"/>
            <rFont val="Tahoma"/>
            <family val="2"/>
          </rPr>
          <t xml:space="preserve">
Mtto anual mandatorio
2 dias PC F/S
3 dias con Taurus disponibles
Duracion: 5 dias
+
Cambio de modulo + escape M100
Duracion: 7 dias
+
</t>
        </r>
        <r>
          <rPr>
            <b/>
            <sz val="10"/>
            <color indexed="81"/>
            <rFont val="Tahoma"/>
            <family val="2"/>
          </rPr>
          <t>PC La Carlota</t>
        </r>
        <r>
          <rPr>
            <sz val="10"/>
            <color indexed="81"/>
            <rFont val="Tahoma"/>
            <family val="2"/>
          </rPr>
          <t xml:space="preserve">
Cambio de modulo TC03 + cambio de aero aceite
Duracion: 10 dias</t>
        </r>
      </text>
    </comment>
    <comment ref="V40" authorId="0" shapeId="0" xr:uid="{A448B17F-778A-437D-964A-F6403E5D4785}">
      <text>
        <r>
          <rPr>
            <b/>
            <sz val="10"/>
            <color indexed="81"/>
            <rFont val="Tahoma"/>
            <family val="2"/>
          </rPr>
          <t>PC La Mora</t>
        </r>
        <r>
          <rPr>
            <sz val="10"/>
            <color indexed="81"/>
            <rFont val="Tahoma"/>
            <family val="2"/>
          </rPr>
          <t xml:space="preserve">
Mtto anual mandatorio
2 dias PC F/S
3 dias con Taurus disponibles
Duracion: 5 dias
+
Cambio de modulo + escape M100
Duracion: 7 dias
+
</t>
        </r>
        <r>
          <rPr>
            <b/>
            <sz val="10"/>
            <color indexed="81"/>
            <rFont val="Tahoma"/>
            <family val="2"/>
          </rPr>
          <t>PC La Carlota</t>
        </r>
        <r>
          <rPr>
            <sz val="10"/>
            <color indexed="81"/>
            <rFont val="Tahoma"/>
            <family val="2"/>
          </rPr>
          <t xml:space="preserve">
Cambio de modulo TC03 + cambio de aero aceite
Duracion: 10 dias</t>
        </r>
      </text>
    </comment>
    <comment ref="W40" authorId="0" shapeId="0" xr:uid="{7AD6E1C1-63E6-4C5E-AE64-431C4DAA1324}">
      <text>
        <r>
          <rPr>
            <b/>
            <sz val="10"/>
            <color indexed="81"/>
            <rFont val="Tahoma"/>
            <family val="2"/>
          </rPr>
          <t>PC La Mora</t>
        </r>
        <r>
          <rPr>
            <sz val="10"/>
            <color indexed="81"/>
            <rFont val="Tahoma"/>
            <family val="2"/>
          </rPr>
          <t xml:space="preserve">
Mtto anual mandatorio
2 dias PC F/S
3 dias con Taurus disponibles
Duracion: 5 dias
+
Cambio de modulo + escape M100
Duracion: 7 dias
+
</t>
        </r>
        <r>
          <rPr>
            <b/>
            <sz val="10"/>
            <color indexed="81"/>
            <rFont val="Tahoma"/>
            <family val="2"/>
          </rPr>
          <t>PC La Carlota</t>
        </r>
        <r>
          <rPr>
            <sz val="10"/>
            <color indexed="81"/>
            <rFont val="Tahoma"/>
            <family val="2"/>
          </rPr>
          <t xml:space="preserve">
Cambio de modulo TC03 + cambio de aero aceite
Duracion: 10 dias</t>
        </r>
      </text>
    </comment>
    <comment ref="X40" authorId="0" shapeId="0" xr:uid="{E8B05597-AB55-4F7F-BD4E-1C20B49B4D83}">
      <text>
        <r>
          <rPr>
            <b/>
            <sz val="10"/>
            <color indexed="81"/>
            <rFont val="Tahoma"/>
            <family val="2"/>
          </rPr>
          <t>PC La Carlota</t>
        </r>
        <r>
          <rPr>
            <sz val="10"/>
            <color indexed="81"/>
            <rFont val="Tahoma"/>
            <family val="2"/>
          </rPr>
          <t xml:space="preserve">
Cambio de modulo TC03 + cambio de aero aceite
Duracion: 10 dias</t>
        </r>
      </text>
    </comment>
    <comment ref="Y40" authorId="0" shapeId="0" xr:uid="{15E72F07-AEAF-4940-B192-7E9C64C6CCB9}">
      <text>
        <r>
          <rPr>
            <b/>
            <sz val="10"/>
            <color indexed="81"/>
            <rFont val="Tahoma"/>
            <family val="2"/>
          </rPr>
          <t>PC La Carlota</t>
        </r>
        <r>
          <rPr>
            <sz val="10"/>
            <color indexed="81"/>
            <rFont val="Tahoma"/>
            <family val="2"/>
          </rPr>
          <t xml:space="preserve">
Cambio de modulo TC03 + cambio de aero aceite
Duracion: 10 dias</t>
        </r>
      </text>
    </comment>
    <comment ref="AJ40" authorId="0" shapeId="0" xr:uid="{B46197BC-3B84-4D4E-8DCD-3464C85A0503}">
      <text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Stopler gto paralelo e instalacion de juntas monolitica.
Solo compresion al gto troncal
Duracion: 2 dias
+
</t>
        </r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Mtto anual PC
Duracion: 3 dias
Maximo transporte por BEA:</t>
        </r>
        <r>
          <rPr>
            <b/>
            <sz val="10"/>
            <color indexed="81"/>
            <rFont val="Tahoma"/>
            <family val="2"/>
          </rPr>
          <t xml:space="preserve"> 15,5 MMm3/d</t>
        </r>
      </text>
    </comment>
    <comment ref="AK40" authorId="0" shapeId="0" xr:uid="{1BA2955A-EF3C-49B1-8215-18B3EF229D46}">
      <text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Stopler gto paralelo e instalacion de juntas monolitica.
Solo compresion al gto troncal
Duracion: 2 dias
+
</t>
        </r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Mtto anual PC
Duracion: 3 dias
Maximo transporte por BEA:</t>
        </r>
        <r>
          <rPr>
            <b/>
            <sz val="10"/>
            <color indexed="81"/>
            <rFont val="Tahoma"/>
            <family val="2"/>
          </rPr>
          <t xml:space="preserve"> 15,5 MMm3/d</t>
        </r>
      </text>
    </comment>
    <comment ref="AL40" authorId="0" shapeId="0" xr:uid="{A1D0DC66-8287-48E8-8632-5D23647EA649}">
      <text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Mtto anual PC
Duracion: 3 dias
Maximo transporte por BEA:</t>
        </r>
        <r>
          <rPr>
            <b/>
            <sz val="10"/>
            <color indexed="81"/>
            <rFont val="Tahoma"/>
            <family val="2"/>
          </rPr>
          <t xml:space="preserve"> 15,5 MMm3/d</t>
        </r>
      </text>
    </comment>
    <comment ref="AN40" authorId="0" shapeId="0" xr:uid="{C025FAF0-BAC7-458A-A1A3-070069A6A91F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Obra aislacion de planta
duracion: 7 dias PC F/S</t>
        </r>
      </text>
    </comment>
    <comment ref="AO40" authorId="0" shapeId="0" xr:uid="{0C433BCE-07CC-4D93-8BAA-7C58DD94C5DA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Obra aislacion de planta
duracion: 7 dias PC F/S</t>
        </r>
      </text>
    </comment>
    <comment ref="AP40" authorId="0" shapeId="0" xr:uid="{136B24A4-221C-4A82-A73F-AAA801CCF8A6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Obra aislacion de planta
duracion: 7 dias PC F/S</t>
        </r>
      </text>
    </comment>
    <comment ref="AQ40" authorId="0" shapeId="0" xr:uid="{2633D260-7E5B-4928-984E-27E275FD9841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Obra aislacion de planta
duracion: 7 dias PC F/S
+
</t>
        </r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Cambio de modulo TC04
Duracion: 8 dias
</t>
        </r>
      </text>
    </comment>
    <comment ref="AR40" authorId="0" shapeId="0" xr:uid="{BA1493AA-A5ED-4099-9531-EEF5AAE2908E}">
      <text>
        <r>
          <rPr>
            <sz val="10"/>
            <color indexed="81"/>
            <rFont val="Tahoma"/>
            <family val="2"/>
          </rPr>
          <t xml:space="preserve">Scraper limpieza mecanica Gto paralelo LLL - Catriel Tramo 48
Inyeccion solo por el PM 86 de 5MMm3/d
Maximo puntual cabecera de 18 MMm3/d.
Duracion: 15 hs
</t>
        </r>
        <r>
          <rPr>
            <b/>
            <sz val="10"/>
            <color indexed="81"/>
            <rFont val="Tahoma"/>
            <family val="2"/>
          </rPr>
          <t xml:space="preserve">Cierre dia: 23 MMm3/d
+
PC Beazley
</t>
        </r>
        <r>
          <rPr>
            <sz val="10"/>
            <color indexed="81"/>
            <rFont val="Tahoma"/>
            <family val="2"/>
          </rPr>
          <t>Cambio de modulo TC04
Duracion: 8 dias
+</t>
        </r>
        <r>
          <rPr>
            <b/>
            <sz val="10"/>
            <color indexed="81"/>
            <rFont val="Tahoma"/>
            <family val="2"/>
          </rPr>
          <t xml:space="preserve">
PC Cochico
</t>
        </r>
        <r>
          <rPr>
            <sz val="10"/>
            <color indexed="81"/>
            <rFont val="Tahoma"/>
            <family val="2"/>
          </rPr>
          <t>Obra aislacion de planta
duracion: 7 dias PC F/S</t>
        </r>
      </text>
    </comment>
    <comment ref="AS40" authorId="0" shapeId="0" xr:uid="{9A396A84-3F30-4D76-B1F0-4ABB38A4F505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Obra aislacion de planta
duracion: 7 dias PC F/S
+
</t>
        </r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Cambio de modulo TC04
Duracion: 8 dias
</t>
        </r>
      </text>
    </comment>
    <comment ref="AT40" authorId="0" shapeId="0" xr:uid="{314EB6FA-1FF6-408E-A934-BF6CB03FE4C0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Obra aislacion de planta
duracion: 7 dias PC F/S
+
</t>
        </r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Cambio de modulo TC04
Duracion: 8 dias
</t>
        </r>
      </text>
    </comment>
    <comment ref="AU40" authorId="0" shapeId="0" xr:uid="{6B78CCE9-157C-488E-8F5D-99D53D153C55}">
      <text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Cambio de modulo TC04
Duracion: 8 dias
</t>
        </r>
        <r>
          <rPr>
            <b/>
            <sz val="10"/>
            <color indexed="81"/>
            <rFont val="Tahoma"/>
            <family val="2"/>
          </rPr>
          <t xml:space="preserve">Maximo transporte por BEA: 18,5MM m3/dia
</t>
        </r>
      </text>
    </comment>
    <comment ref="AV40" authorId="0" shapeId="0" xr:uid="{5C56673D-C01F-4548-9FC6-6A96A1E74BA8}">
      <text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Cambio de modulo TC04
Duracion: 8 dias
</t>
        </r>
        <r>
          <rPr>
            <b/>
            <sz val="10"/>
            <color indexed="81"/>
            <rFont val="Tahoma"/>
            <family val="2"/>
          </rPr>
          <t xml:space="preserve">Maximo transporte por BEA: 18,5MM m3/dia
</t>
        </r>
      </text>
    </comment>
    <comment ref="AW40" authorId="0" shapeId="0" xr:uid="{4DD6226A-C78E-4A74-A234-C7326FCC345C}">
      <text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Cambio de modulo TC04
Duracion: 8 dias
</t>
        </r>
        <r>
          <rPr>
            <b/>
            <sz val="10"/>
            <color indexed="81"/>
            <rFont val="Tahoma"/>
            <family val="2"/>
          </rPr>
          <t xml:space="preserve">Maximo transporte por BEA: 18,5MM m3/dia
</t>
        </r>
      </text>
    </comment>
    <comment ref="AX40" authorId="0" shapeId="0" xr:uid="{C0DA48D6-0D9E-41A7-BC41-786FDE6FA5D0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Mtto anual PC
Duracion: 5 dias 
2 dias con PC F/S
3 dias con Ruston disponibles
+
</t>
        </r>
        <r>
          <rPr>
            <b/>
            <sz val="10"/>
            <color indexed="81"/>
            <rFont val="Tahoma"/>
            <family val="2"/>
          </rPr>
          <t xml:space="preserve">PC Beazley
</t>
        </r>
        <r>
          <rPr>
            <sz val="10"/>
            <color indexed="81"/>
            <rFont val="Tahoma"/>
            <family val="2"/>
          </rPr>
          <t>Cambio de modulo TC04
Duracion: 8 dias</t>
        </r>
        <r>
          <rPr>
            <b/>
            <sz val="10"/>
            <color indexed="81"/>
            <rFont val="Tahoma"/>
            <family val="2"/>
          </rPr>
          <t xml:space="preserve">
Maximo transporte por BEA: 18,5MM m3/dia</t>
        </r>
      </text>
    </comment>
    <comment ref="AY40" authorId="0" shapeId="0" xr:uid="{2582B3D6-B156-4642-BA99-C80CAC63B39D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Mtto anual PC
Duracion: 5 dias 
2 dias con PC F/S
3 dias con Ruston disponibles
+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Scraper limpieza mecanica Gto paralelo LLL - Catriel Tramo 48</t>
        </r>
        <r>
          <rPr>
            <sz val="10"/>
            <color indexed="81"/>
            <rFont val="Tahoma"/>
            <family val="2"/>
          </rPr>
          <t xml:space="preserve">
Inyeccion solo por el PM 86 de 5MMm3/d
Maximo puntual cabecera de 18 MMm3/d.
Duracion: 15 hs
Cierre dia: 23 MMm3/d</t>
        </r>
      </text>
    </comment>
    <comment ref="AZ40" authorId="0" shapeId="0" xr:uid="{F0517EE7-640C-4CDC-B4B7-71416127E63B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Mtto anual PC
Duracion: 5 dias 
2 dias con PC F/S
3 dias con Ruston disponibles
+
</t>
        </r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Obra aislacion de PC
Duracion. 3 jornadas
</t>
        </r>
        <r>
          <rPr>
            <b/>
            <sz val="10"/>
            <color indexed="81"/>
            <rFont val="Tahoma"/>
            <family val="2"/>
          </rPr>
          <t>Maximo transporte por BEA: 15,5MMm3/dia</t>
        </r>
      </text>
    </comment>
    <comment ref="BA40" authorId="0" shapeId="0" xr:uid="{5E3C9A72-CB4A-4D36-8A0A-09BD0C053523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Mtto anual PC
Duracion: 5 dias 
2 dias con PC F/S
3 dias con Ruston disponibles
+
</t>
        </r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Obra aislacion de PC
Duracion. 3 jornadas
</t>
        </r>
        <r>
          <rPr>
            <b/>
            <sz val="10"/>
            <color indexed="81"/>
            <rFont val="Tahoma"/>
            <family val="2"/>
          </rPr>
          <t>Maximo transporte por BEA: 15,5MMm3/dia</t>
        </r>
      </text>
    </comment>
    <comment ref="BB40" authorId="0" shapeId="0" xr:uid="{A0B0DEFE-0833-4FAB-BDFA-AF44161243C9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Mtto anual PC
Duracion: 5 dias 
2 dias con PC F/S
3 dias con Ruston disponibles
+
</t>
        </r>
        <r>
          <rPr>
            <b/>
            <sz val="10"/>
            <color indexed="81"/>
            <rFont val="Tahoma"/>
            <family val="2"/>
          </rPr>
          <t>PC Beazley</t>
        </r>
        <r>
          <rPr>
            <sz val="10"/>
            <color indexed="81"/>
            <rFont val="Tahoma"/>
            <family val="2"/>
          </rPr>
          <t xml:space="preserve">
Obra aislacion de PC
Duracion. 3 jornadas
</t>
        </r>
        <r>
          <rPr>
            <b/>
            <sz val="10"/>
            <color indexed="81"/>
            <rFont val="Tahoma"/>
            <family val="2"/>
          </rPr>
          <t>Maximo transporte por BEA: 15,5MMm3/dia</t>
        </r>
      </text>
    </comment>
    <comment ref="BF40" authorId="0" shapeId="0" xr:uid="{858DF128-172B-4FF8-A31F-A1406665A0CF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Mtto anual PC
Duracion: 5 dias 
2 dias con PC F/S
3 dias con Ruston disponibles
+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Scraper limpieza mecanica Gto paralelo LLL - Catriel Tramo 48</t>
        </r>
        <r>
          <rPr>
            <sz val="10"/>
            <color indexed="81"/>
            <rFont val="Tahoma"/>
            <family val="2"/>
          </rPr>
          <t xml:space="preserve">
Inyeccion solo por el PM 86 de 5MMm3/d
Maximo puntual cabecera de 18 MMm3/d.
Duracion: 15 hs
Cierre dia: 23 MMm3/d</t>
        </r>
      </text>
    </comment>
    <comment ref="BM40" authorId="0" shapeId="0" xr:uid="{668B14E1-E6B8-4EFD-A168-4D9CE9C9C93E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Mtto anual PC
Duracion: 5 dias 
2 dias con PC F/S
3 dias con Ruston disponibles
+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Scraper limpieza mecanica Gto paralelo LLL - Catriel Tramo 48</t>
        </r>
        <r>
          <rPr>
            <sz val="10"/>
            <color indexed="81"/>
            <rFont val="Tahoma"/>
            <family val="2"/>
          </rPr>
          <t xml:space="preserve">
Inyeccion solo por el PM 86 de 5MMm3/d
Maximo puntual cabecera de 18 MMm3/d.
Duracion: 15 hs
Cierre dia: 23 MMm3/d</t>
        </r>
      </text>
    </comment>
    <comment ref="BT40" authorId="0" shapeId="0" xr:uid="{2702173A-24C1-4351-89A4-089786422FDB}">
      <text>
        <r>
          <rPr>
            <b/>
            <sz val="10"/>
            <color indexed="81"/>
            <rFont val="Tahoma"/>
            <family val="2"/>
          </rPr>
          <t>PC Cochico</t>
        </r>
        <r>
          <rPr>
            <sz val="10"/>
            <color indexed="81"/>
            <rFont val="Tahoma"/>
            <family val="2"/>
          </rPr>
          <t xml:space="preserve">
Mtto anual PC
Duracion: 5 dias 
2 dias con PC F/S
3 dias con Ruston disponibles
+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Scraper limpieza mecanica Gto paralelo LLL - Catriel Tramo 48</t>
        </r>
        <r>
          <rPr>
            <sz val="10"/>
            <color indexed="81"/>
            <rFont val="Tahoma"/>
            <family val="2"/>
          </rPr>
          <t xml:space="preserve">
Inyeccion solo por el PM 86 de 5MMm3/d
Maximo puntual cabecera de 18 MMm3/d.
Duracion: 15 hs
Cierre dia: 23 MMm3/d</t>
        </r>
      </text>
    </comment>
    <comment ref="BZ40" authorId="0" shapeId="0" xr:uid="{D2E9EB43-A876-495A-BED8-A086A10ED9ED}">
      <text>
        <r>
          <rPr>
            <sz val="10"/>
            <color indexed="81"/>
            <rFont val="Tahoma"/>
            <family val="2"/>
          </rPr>
          <t xml:space="preserve">Scraper limpieza mecanica Gto paralelo LLL - Catriel Tramo 48
Inyeccion solo por el PM 86 de 8MMm3/d
Maximo puntual cabecera de 21 MMm3/d.
Duracion: 13 hs
</t>
        </r>
        <r>
          <rPr>
            <b/>
            <sz val="10"/>
            <color indexed="81"/>
            <rFont val="Tahoma"/>
            <family val="2"/>
          </rPr>
          <t>Cierre dia: 26 MMm3/d</t>
        </r>
      </text>
    </comment>
    <comment ref="CB40" authorId="0" shapeId="0" xr:uid="{31018D22-BCDA-491D-86A8-2397C6745972}">
      <text>
        <r>
          <rPr>
            <sz val="10"/>
            <color indexed="81"/>
            <rFont val="Tahoma"/>
            <family val="2"/>
          </rPr>
          <t xml:space="preserve">Scraper limpieza mecanica Gto paralelo LLL - Catriel Tramo 48
Inyeccion solo por el PM 86 de 8MMm3/d
Maximo puntual cabecera de 21 MMm3/d.
Duracion: 13 hs
</t>
        </r>
        <r>
          <rPr>
            <b/>
            <sz val="10"/>
            <color indexed="81"/>
            <rFont val="Tahoma"/>
            <family val="2"/>
          </rPr>
          <t>Cierre dia: 26 MMm3/d</t>
        </r>
      </text>
    </comment>
    <comment ref="AE46" authorId="0" shapeId="0" xr:uid="{3FA4CBCD-0F47-46B6-AA25-F0EAC5345DC1}">
      <text>
        <r>
          <rPr>
            <sz val="11"/>
            <color theme="1"/>
            <rFont val="Aptos Narrow"/>
            <family val="2"/>
            <scheme val="minor"/>
          </rPr>
          <t xml:space="preserve">Acometidas para futuras Plantas Compresoras (Casa de Piedra)
1 día
Impacto 2 MM
</t>
        </r>
      </text>
    </comment>
    <comment ref="AJ46" authorId="1" shapeId="0" xr:uid="{ADBE64E7-B7E1-4E0E-874A-4DCB6419EC5E}">
      <text>
        <r>
          <rPr>
            <sz val="11"/>
            <color theme="1"/>
            <rFont val="Aptos Narrow"/>
            <family val="2"/>
            <scheme val="minor"/>
          </rPr>
          <t xml:space="preserve">Planta Mercedes
Cambio de Sello
3 días
Impacto 3 MM
</t>
        </r>
      </text>
    </comment>
    <comment ref="AK46" authorId="1" shapeId="0" xr:uid="{5A1356AA-184E-4BC3-8CCB-7A52EC3EAE33}">
      <text>
        <r>
          <rPr>
            <sz val="11"/>
            <color theme="1"/>
            <rFont val="Aptos Narrow"/>
            <family val="2"/>
            <scheme val="minor"/>
          </rPr>
          <t xml:space="preserve">Planta Mercedes
Cambio de Sello
3 días
Impacto 3 MM
</t>
        </r>
      </text>
    </comment>
    <comment ref="AL46" authorId="1" shapeId="0" xr:uid="{F5A2DFF1-F21F-4362-BA1D-8AA71D0168D9}">
      <text>
        <r>
          <rPr>
            <sz val="11"/>
            <color theme="1"/>
            <rFont val="Aptos Narrow"/>
            <family val="2"/>
            <scheme val="minor"/>
          </rPr>
          <t xml:space="preserve">Planta Mercedes
Cambio de Sello
3 días
Impacto 3 MM
</t>
        </r>
      </text>
    </comment>
    <comment ref="AQ46" authorId="0" shapeId="0" xr:uid="{DD1BAFEB-5BFC-4E96-BD2E-E548D924281A}">
      <text>
        <r>
          <rPr>
            <sz val="11"/>
            <color theme="1"/>
            <rFont val="Aptos Narrow"/>
            <family val="2"/>
            <scheme val="minor"/>
          </rPr>
          <t xml:space="preserve">Acometidas para futuras Plantas Compresoras (Doblas)
1 día
Impacto 2 MM
</t>
        </r>
      </text>
    </comment>
    <comment ref="BF46" authorId="0" shapeId="0" xr:uid="{25D4342D-3C8D-4667-94CE-0CC4F3AE58F2}">
      <text>
        <r>
          <rPr>
            <sz val="11"/>
            <color theme="1"/>
            <rFont val="Aptos Narrow"/>
            <family val="2"/>
            <scheme val="minor"/>
          </rPr>
          <t>Planta Tratayen y Salliquello
Prueba de PJ1 
3 días
Impacto 8 MM/D</t>
        </r>
      </text>
    </comment>
    <comment ref="BG46" authorId="0" shapeId="0" xr:uid="{E02CEE8B-76CD-4C35-8BFF-D1154E4F7DA6}">
      <text>
        <r>
          <rPr>
            <sz val="11"/>
            <color theme="1"/>
            <rFont val="Aptos Narrow"/>
            <family val="2"/>
            <scheme val="minor"/>
          </rPr>
          <t>Planta Tratayen y Salliquello
Prueba de PJ1 
3 días
Impacto 8 MM/D</t>
        </r>
      </text>
    </comment>
    <comment ref="BH46" authorId="0" shapeId="0" xr:uid="{8E65F30B-9797-4C39-96C4-AE4EECEB11A1}">
      <text>
        <r>
          <rPr>
            <sz val="11"/>
            <color theme="1"/>
            <rFont val="Aptos Narrow"/>
            <family val="2"/>
            <scheme val="minor"/>
          </rPr>
          <t>Planta Tratayen y Salliquello
Prueba de PJ1 
3 días
Impacto 8 MM/D</t>
        </r>
      </text>
    </comment>
    <comment ref="BT46" authorId="0" shapeId="0" xr:uid="{CB399E05-5108-4EB7-8159-F70EA3DA4EC7}">
      <text>
        <r>
          <rPr>
            <sz val="11"/>
            <color theme="1"/>
            <rFont val="Aptos Narrow"/>
            <family val="2"/>
            <scheme val="minor"/>
          </rPr>
          <t xml:space="preserve">Acometidas para futuras Plantas Compresoras ( Chacharramendi )
1 día
Impacto 2 MM
</t>
        </r>
      </text>
    </comment>
    <comment ref="D58" authorId="2" shapeId="0" xr:uid="{C5898A50-BC3E-4F06-A77D-09E07F56F8F6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</t>
        </r>
      </text>
    </comment>
    <comment ref="E58" authorId="2" shapeId="0" xr:uid="{1C55D14D-F545-407F-A813-CCF98A230E2D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</t>
        </r>
      </text>
    </comment>
    <comment ref="F58" authorId="2" shapeId="0" xr:uid="{29173753-9D92-434A-9F0D-D615DB7C0C5F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</t>
        </r>
      </text>
    </comment>
    <comment ref="G58" authorId="2" shapeId="0" xr:uid="{2C72E2C8-B1F0-43A1-ADE6-573F311D143E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</t>
        </r>
      </text>
    </comment>
    <comment ref="H58" authorId="2" shapeId="0" xr:uid="{3877A781-51B5-4449-9771-C681C9639972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</t>
        </r>
      </text>
    </comment>
    <comment ref="I58" authorId="2" shapeId="0" xr:uid="{1CD89231-48D9-41E0-9119-782884F38B5B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CK Down // PAD#39HP
AP-1116 // CK Down
</t>
        </r>
      </text>
    </comment>
    <comment ref="J58" authorId="2" shapeId="0" xr:uid="{D9DFFE88-2C27-4CAC-8739-1DDF22DA507E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CK Down // PAD#39HP
AP-1116 // CK Down
</t>
        </r>
      </text>
    </comment>
    <comment ref="K58" authorId="2" shapeId="0" xr:uid="{76EAF79A-ABF8-4574-BF46-A5983E2F4A22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CK Down // PAD#39HP
AP-1116 // CK Down
</t>
        </r>
      </text>
    </comment>
    <comment ref="L58" authorId="2" shapeId="0" xr:uid="{3619AA57-4D30-4740-8E60-7492F10623D4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CK Down // PAD#39HP
AP-1116 // CK Down
</t>
        </r>
      </text>
    </comment>
    <comment ref="M58" authorId="2" shapeId="0" xr:uid="{5889E5AB-67D5-464B-B43D-D29488611C06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CK Down // PAD#39HP
AP-1116 // CK Down
</t>
        </r>
      </text>
    </comment>
    <comment ref="N58" authorId="2" shapeId="0" xr:uid="{91D02633-1CB7-46A9-945E-D28FD4E82445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CK Down // PAD#39HP
AP-1116 // CK Down
</t>
        </r>
      </text>
    </comment>
    <comment ref="O58" authorId="2" shapeId="0" xr:uid="{E3BAB194-71CC-4307-83DE-57A8443954D5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CK Down // PAD#39HP
AP-1116 // CK Down
</t>
        </r>
      </text>
    </comment>
    <comment ref="P58" authorId="2" shapeId="0" xr:uid="{FF151928-8EC8-4E1A-8A64-AE743D42EC2F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CK Down // PAD#39HP
AP-1116 // CK Down
</t>
        </r>
      </text>
    </comment>
    <comment ref="Q58" authorId="2" shapeId="0" xr:uid="{DF247933-ABFE-4B38-90EF-9116B0C3ABB7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</t>
        </r>
        <r>
          <rPr>
            <b/>
            <sz val="12"/>
            <color indexed="81"/>
            <rFont val="Tahoma"/>
            <family val="2"/>
          </rPr>
          <t>Total - AP</t>
        </r>
        <r>
          <rPr>
            <sz val="12"/>
            <color indexed="81"/>
            <rFont val="Tahoma"/>
            <family val="2"/>
          </rPr>
          <t xml:space="preserve">
2DA PPP
</t>
        </r>
      </text>
    </comment>
    <comment ref="R58" authorId="2" shapeId="0" xr:uid="{DE339918-F0E1-43DD-A6CF-BBF0F4537D70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S58" authorId="2" shapeId="0" xr:uid="{5F3C1FB8-FECD-4D3D-9502-0E8D21575F81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T58" authorId="2" shapeId="0" xr:uid="{3610838F-53B3-4D7D-9C62-1016A32BC923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U58" authorId="2" shapeId="0" xr:uid="{93252555-2DC5-4D8D-8CF3-86711D5F36D7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V58" authorId="2" shapeId="0" xr:uid="{71D243A4-CEF5-46B4-B634-D65B6A2FED49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W58" authorId="2" shapeId="0" xr:uid="{5A5BD04C-5F6B-494E-BBD9-DAAC3D9F8237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X58" authorId="2" shapeId="0" xr:uid="{D0A61130-7F68-4A4B-8944-FEBD13A9714B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Y58" authorId="2" shapeId="0" xr:uid="{AF7C32C1-11C2-47F1-8210-09E808B01260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Z58" authorId="2" shapeId="0" xr:uid="{698D09F7-70B5-4EF1-9278-2AA0E87310D3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A58" authorId="2" shapeId="0" xr:uid="{AE2648BA-A871-485D-A1D1-DFC419447CEA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B58" authorId="2" shapeId="0" xr:uid="{9A07B53B-E98A-4B3E-B590-3EDDDE1DC5AA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C58" authorId="2" shapeId="0" xr:uid="{E0C35FF0-6B8F-4B67-ADFC-611B0EEB14BB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D58" authorId="2" shapeId="0" xr:uid="{00F0FCA5-2210-4D45-B04C-F1531B22B8AC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E58" authorId="2" shapeId="0" xr:uid="{420D1C47-3DE6-4098-9EE0-201FA85E9CCA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F58" authorId="2" shapeId="0" xr:uid="{C82CF55B-2F88-46CC-AC46-2E0ADE4115FB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G58" authorId="2" shapeId="0" xr:uid="{21B125AA-D0D0-4F02-99EC-CF1C70102A3E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H58" authorId="2" shapeId="0" xr:uid="{496CC4B2-708D-40CC-B57B-82C2BE3B6861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I58" authorId="2" shapeId="0" xr:uid="{6DE0B545-2BC6-4D8A-B923-C9002E81FD23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J58" authorId="2" shapeId="0" xr:uid="{C760F172-B9E9-4A98-A879-9BDA484F0F76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K58" authorId="2" shapeId="0" xr:uid="{8A87F011-4555-4EA1-85D0-0C2CF1E8DF62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L58" authorId="2" shapeId="0" xr:uid="{A595D26A-119E-4019-B702-DCA6CEAD7E9F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M58" authorId="2" shapeId="0" xr:uid="{B862EFBE-63D0-4857-AD86-1D1341361FA3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N58" authorId="2" shapeId="0" xr:uid="{6DE60409-C787-42E9-8867-09739BBFC6E6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O58" authorId="2" shapeId="0" xr:uid="{10DDB986-F638-4F21-8097-E314C45E259B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P58" authorId="2" shapeId="0" xr:uid="{AC79F48A-D2F7-40C0-81F9-268A881B6FB0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Q58" authorId="2" shapeId="0" xr:uid="{996788E7-FC59-4F59-8931-1DCC39325464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R58" authorId="2" shapeId="0" xr:uid="{5EFA6D91-DF2A-49D0-8545-32F29E0E2138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S58" authorId="2" shapeId="0" xr:uid="{5B324D03-C87A-4B5C-A173-B7206B80B0BF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T58" authorId="2" shapeId="0" xr:uid="{49F459DA-66BA-4267-84E2-FA3AF96D1B49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U58" authorId="2" shapeId="0" xr:uid="{EDF52122-4682-4C17-9EC0-CC7410291F34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V58" authorId="2" shapeId="0" xr:uid="{34307B3A-C446-43CD-AA32-E027BAC8D50C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W58" authorId="2" shapeId="0" xr:uid="{6F19CDB0-B0DC-40DF-99AE-FFE734CBE439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X58" authorId="2" shapeId="0" xr:uid="{4B9FDEBD-5FC9-4D4A-971E-5106277CCE2A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Y58" authorId="2" shapeId="0" xr:uid="{74E6B75C-0346-4F4C-86B2-8903950F4F2A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AZ58" authorId="2" shapeId="0" xr:uid="{40789482-F797-4C11-A978-F9F2D54B3E94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A58" authorId="2" shapeId="0" xr:uid="{358CD621-BBA2-4F17-B6C3-56F10F87264A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B58" authorId="2" shapeId="0" xr:uid="{9EB65D57-2E04-4494-9AC0-10BDDF1B409E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C58" authorId="2" shapeId="0" xr:uid="{D1E58EDE-71F3-4C49-9D73-7E7E97B16621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D58" authorId="2" shapeId="0" xr:uid="{CEAAF91C-998F-4342-A5A3-7F86AFE104B9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E58" authorId="2" shapeId="0" xr:uid="{44541BB7-67B2-4507-B74C-44433EBBB92F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F58" authorId="2" shapeId="0" xr:uid="{3F0EC700-69C5-41C3-92F1-3A026911A1FC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G58" authorId="2" shapeId="0" xr:uid="{191B164D-96DB-4B18-B9ED-5458EBC9B2BC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H58" authorId="2" shapeId="0" xr:uid="{0E7682FD-4508-4436-AD88-4FC72AD078EE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I58" authorId="2" shapeId="0" xr:uid="{C3437589-C47E-4AC4-9B70-227112030324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J58" authorId="2" shapeId="0" xr:uid="{E2D1F4F7-5F41-427A-8C33-D103840D9F18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K58" authorId="2" shapeId="0" xr:uid="{EAC63F99-1E9F-4D35-BB0A-8E61DFA91FEE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BL58" authorId="2" shapeId="0" xr:uid="{FB5DB4ED-EAA7-4B11-B531-D3559D7F58BE}">
      <text>
        <r>
          <rPr>
            <b/>
            <sz val="12"/>
            <color indexed="81"/>
            <rFont val="Tahoma"/>
            <family val="2"/>
          </rPr>
          <t xml:space="preserve">Total - AP:
</t>
        </r>
        <r>
          <rPr>
            <sz val="12"/>
            <color indexed="81"/>
            <rFont val="Tahoma"/>
            <family val="2"/>
          </rPr>
          <t xml:space="preserve">FS MPA
PAD#39HP
AP-1116
</t>
        </r>
      </text>
    </comment>
    <comment ref="P66" authorId="3" shapeId="0" xr:uid="{C7AB2CC0-0713-47B2-89D4-89DAED4EC95F}">
      <text>
        <r>
          <rPr>
            <b/>
            <sz val="9"/>
            <color indexed="81"/>
            <rFont val="Tahoma"/>
            <family val="2"/>
          </rPr>
          <t>Mttos Los Bastos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66" authorId="3" shapeId="0" xr:uid="{A77E452C-236B-4524-A727-3325FD4557E1}">
      <text>
        <r>
          <rPr>
            <b/>
            <sz val="9"/>
            <color indexed="81"/>
            <rFont val="Tahoma"/>
            <family val="2"/>
          </rPr>
          <t>Mttos Los Bastos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6" authorId="3" shapeId="0" xr:uid="{E9669DCD-B9C2-45E3-A88C-AC6072E97863}">
      <text>
        <r>
          <rPr>
            <b/>
            <sz val="9"/>
            <color indexed="81"/>
            <rFont val="Tahoma"/>
            <family val="2"/>
          </rPr>
          <t>Mttos Los Bastos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66" authorId="3" shapeId="0" xr:uid="{CEB8D668-5DB2-434B-A98D-18AD879B712B}">
      <text>
        <r>
          <rPr>
            <b/>
            <sz val="9"/>
            <color indexed="81"/>
            <rFont val="Tahoma"/>
            <family val="2"/>
          </rPr>
          <t>Mttos Los Bastos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66" authorId="3" shapeId="0" xr:uid="{2BBE4513-F55F-47F1-8712-B8AC96003B8F}">
      <text>
        <r>
          <rPr>
            <b/>
            <sz val="9"/>
            <color indexed="81"/>
            <rFont val="Tahoma"/>
            <family val="2"/>
          </rPr>
          <t>Mttos Los Bastos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6" authorId="3" shapeId="0" xr:uid="{FB106882-BFF8-47DF-8CE7-32350A59595B}">
      <text>
        <r>
          <rPr>
            <b/>
            <sz val="9"/>
            <color indexed="81"/>
            <rFont val="Tahoma"/>
            <family val="2"/>
          </rPr>
          <t>Mttos Los Bastos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66" authorId="3" shapeId="0" xr:uid="{A0A0D2BC-7093-4625-AA75-9A8D82024251}">
      <text>
        <r>
          <rPr>
            <b/>
            <sz val="9"/>
            <color indexed="81"/>
            <rFont val="Tahoma"/>
            <family val="2"/>
          </rPr>
          <t>Mttos Agua Salada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66" authorId="3" shapeId="0" xr:uid="{2CF8AF04-281F-4837-BBF5-FFC6504AE9C9}">
      <text>
        <r>
          <rPr>
            <b/>
            <sz val="9"/>
            <color indexed="81"/>
            <rFont val="Tahoma"/>
            <family val="2"/>
          </rPr>
          <t>Mtto FDP</t>
        </r>
      </text>
    </comment>
    <comment ref="AY66" authorId="3" shapeId="0" xr:uid="{9A3139E8-841A-4960-9099-D4FE8120DDCD}">
      <text>
        <r>
          <rPr>
            <b/>
            <sz val="9"/>
            <color indexed="81"/>
            <rFont val="Tahoma"/>
            <family val="2"/>
          </rPr>
          <t>Mtto FDP</t>
        </r>
      </text>
    </comment>
    <comment ref="AZ66" authorId="3" shapeId="0" xr:uid="{B4AE4196-435C-4B1C-9721-31F3AB4DCE65}">
      <text>
        <r>
          <rPr>
            <b/>
            <sz val="9"/>
            <color indexed="81"/>
            <rFont val="Tahoma"/>
            <family val="2"/>
          </rPr>
          <t>Mtto FDP</t>
        </r>
      </text>
    </comment>
    <comment ref="BA66" authorId="3" shapeId="0" xr:uid="{1D1A223D-475B-4BF3-A2B1-5A2AFEC0FD44}">
      <text>
        <r>
          <rPr>
            <b/>
            <sz val="9"/>
            <color indexed="81"/>
            <rFont val="Tahoma"/>
            <family val="2"/>
          </rPr>
          <t>Mtto FDP</t>
        </r>
      </text>
    </comment>
    <comment ref="H68" authorId="3" shapeId="0" xr:uid="{EFE4298C-402B-4E00-88A6-DE313608161D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8" authorId="3" shapeId="0" xr:uid="{C88E6996-CA19-4954-B534-DE1471A1CCA4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8" authorId="3" shapeId="0" xr:uid="{5B641799-42A4-47FB-899B-CE12F8006746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8" authorId="3" shapeId="0" xr:uid="{4FBF3C99-F4F7-41F4-95CF-080A12497FCC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68" authorId="3" shapeId="0" xr:uid="{E5320799-9B70-4FB8-B41D-28A7D297043F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8" authorId="3" shapeId="0" xr:uid="{CEE20974-D419-4A28-8B25-3073CE04535A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68" authorId="3" shapeId="0" xr:uid="{AD56A81E-80FB-4E76-B6CB-DA29C96F2BE5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68" authorId="3" shapeId="0" xr:uid="{FB65C2F0-9314-4035-BC60-52F6A74BE279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8" authorId="3" shapeId="0" xr:uid="{E1E36E96-0A38-4850-B65E-309E31BAA1BC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68" authorId="3" shapeId="0" xr:uid="{42B8008E-FC31-4684-806B-1639027539C0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8" authorId="3" shapeId="0" xr:uid="{8B16A545-7D9A-48DD-9F21-D809E94C4A55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68" authorId="3" shapeId="0" xr:uid="{8E1BC986-086E-4C2D-B3C4-4887628B28F6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68" authorId="3" shapeId="0" xr:uid="{1DC3227D-DFAD-4CFE-990C-DD3955D194A4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68" authorId="3" shapeId="0" xr:uid="{08A9BC84-8377-4721-84D9-1A872BD964FC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8" authorId="3" shapeId="0" xr:uid="{A049C288-DB50-42C0-824B-8D404E23AB3C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68" authorId="3" shapeId="0" xr:uid="{2B77C338-4954-468B-8BFC-6DBC4FF6B7B0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68" authorId="3" shapeId="0" xr:uid="{B87C3921-D18F-45B9-8168-577B3A50B09B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8" authorId="3" shapeId="0" xr:uid="{1A39B584-7B4B-4F08-A32C-FC835984C008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68" authorId="3" shapeId="0" xr:uid="{8734E20E-5436-496E-B7D0-92B6C3F0E33C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68" authorId="3" shapeId="0" xr:uid="{A3271A79-B292-44B9-A20B-6E2BF55C29E5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68" authorId="3" shapeId="0" xr:uid="{42EE4B5A-9A7B-41AB-8DF9-6D86EB47B7C8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68" authorId="3" shapeId="0" xr:uid="{89C6FD2D-4D46-4F27-8B1F-4E6F23D2A818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68" authorId="3" shapeId="0" xr:uid="{D7FD317F-558C-4B3A-882C-026E813DA897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68" authorId="3" shapeId="0" xr:uid="{87172981-6BB5-4031-A298-0EF1641379AF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68" authorId="3" shapeId="0" xr:uid="{55EE7E5B-37F8-4857-BCEC-BF71B3EC163F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68" authorId="3" shapeId="0" xr:uid="{0441F8EB-DDBC-4208-B7E8-8E21611F9066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68" authorId="3" shapeId="0" xr:uid="{6BF5069E-0F27-4622-A718-7FE1003FBFBB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68" authorId="3" shapeId="0" xr:uid="{EE0BB280-79BA-43CE-A8F8-95229DCABB32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68" authorId="3" shapeId="0" xr:uid="{AD1D4CC3-15D4-4A8C-B007-8EAED40DB39E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68" authorId="3" shapeId="0" xr:uid="{F4D22899-82A6-4238-B348-1612014F60F4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68" authorId="3" shapeId="0" xr:uid="{A504FCC6-DA3E-4564-B5D7-96EE960712F0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68" authorId="3" shapeId="0" xr:uid="{8359922E-CE42-4ABC-8CBF-4C751FE84876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68" authorId="3" shapeId="0" xr:uid="{6CB30D0A-EDBE-446E-A50F-3FC5A2645462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68" authorId="3" shapeId="0" xr:uid="{1C34F877-3C83-442B-956E-56CCDDAC1706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68" authorId="3" shapeId="0" xr:uid="{BAE02879-68CC-41BD-8F07-0D9708C09115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68" authorId="3" shapeId="0" xr:uid="{4D18662F-EC50-4A0B-856C-D4AB756F4926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68" authorId="3" shapeId="0" xr:uid="{31E71D7D-5544-46EC-890A-A91271164BFF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68" authorId="3" shapeId="0" xr:uid="{E0F50590-EA25-4DBA-AEE5-A3259E56480F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68" authorId="3" shapeId="0" xr:uid="{F35D6C37-06E0-4CC8-8F0E-A0FA480B652F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68" authorId="3" shapeId="0" xr:uid="{3D509209-0980-4506-A461-2F0229E9B4DF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68" authorId="3" shapeId="0" xr:uid="{5C09DA0E-EBE6-462B-8217-3438B31A8FDE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68" authorId="3" shapeId="0" xr:uid="{99F83072-DEE0-41CD-921B-79EA1A995D35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68" authorId="3" shapeId="0" xr:uid="{68BE82BE-0DFE-4829-BDA4-FCA76DFF7649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68" authorId="3" shapeId="0" xr:uid="{D0F4F170-6A80-4AFD-A233-D4EE622EB2A7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68" authorId="3" shapeId="0" xr:uid="{94F1F7B1-97E8-47EF-BE4F-BEDDF1BBE0A3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68" authorId="3" shapeId="0" xr:uid="{B36ABC51-F394-4845-AF43-D316CEB58B25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68" authorId="3" shapeId="0" xr:uid="{05243C2D-B647-4555-A08E-046E5CAB8CA9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68" authorId="3" shapeId="0" xr:uid="{82FA70FF-1B25-46E1-A838-8F6335E145E5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68" authorId="3" shapeId="0" xr:uid="{83B35187-94A0-4D98-B16C-D41E4A2FAF27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68" authorId="3" shapeId="0" xr:uid="{A638F24E-1B6D-4606-9A56-BFF8C0D49079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68" authorId="3" shapeId="0" xr:uid="{C81C359F-E728-4AEA-A4F2-5200C788018C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68" authorId="3" shapeId="0" xr:uid="{B9BBF96D-EFA6-479D-8B0A-F5B8024FD387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68" authorId="3" shapeId="0" xr:uid="{A6A2751F-DE08-4B57-892E-3C79753A162B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68" authorId="3" shapeId="0" xr:uid="{025BFDC6-B1E5-4F57-938F-2550B69C91C7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J68" authorId="3" shapeId="0" xr:uid="{C46D4A57-802E-431A-A568-3E636AFA647B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68" authorId="3" shapeId="0" xr:uid="{30F43EF4-BFF4-4943-95BB-76FEBE92A2F0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L68" authorId="3" shapeId="0" xr:uid="{DF756AFE-D6F2-4919-B342-EE55142DBE82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68" authorId="3" shapeId="0" xr:uid="{223D3437-F019-4110-9337-427E97F8A6F9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N68" authorId="3" shapeId="0" xr:uid="{977D7991-649E-4A6E-88E3-E476555A563A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68" authorId="3" shapeId="0" xr:uid="{646129F0-0C20-4332-86CE-1DA9A7CA0883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68" authorId="3" shapeId="0" xr:uid="{5DDCBC41-4693-4350-B2BD-3254DDD25B7F}">
      <text>
        <r>
          <rPr>
            <b/>
            <sz val="9"/>
            <color indexed="81"/>
            <rFont val="Tahoma"/>
            <family val="2"/>
          </rPr>
          <t>Mtto TC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4" authorId="4" shapeId="0" xr:uid="{07E8AC5A-CB6F-4066-98B5-FD3819FA7CC8}">
      <text>
        <r>
          <rPr>
            <b/>
            <sz val="9"/>
            <color indexed="81"/>
            <rFont val="Tahoma"/>
            <charset val="1"/>
          </rPr>
          <t>SCH - Scraper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74" authorId="4" shapeId="0" xr:uid="{25C3A2B5-915B-455A-B980-7E6A182861A6}">
      <text>
        <r>
          <rPr>
            <b/>
            <sz val="9"/>
            <color indexed="81"/>
            <rFont val="Tahoma"/>
            <charset val="1"/>
          </rPr>
          <t>SCH - Scraper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74" authorId="4" shapeId="0" xr:uid="{B74C2E1D-F17E-4FDF-BF61-66C675C7E73D}">
      <text>
        <r>
          <rPr>
            <b/>
            <sz val="9"/>
            <color indexed="81"/>
            <rFont val="Tahoma"/>
            <charset val="1"/>
          </rPr>
          <t>SCH - Scraper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74" authorId="4" shapeId="0" xr:uid="{C8956E5C-7DA6-4595-82C6-9D2BE60A08EC}">
      <text>
        <r>
          <rPr>
            <b/>
            <sz val="9"/>
            <color indexed="81"/>
            <rFont val="Tahoma"/>
            <charset val="1"/>
          </rPr>
          <t>SCH - Scraper y paro glicolera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74" authorId="4" shapeId="0" xr:uid="{03A46F92-0C3B-4F4C-8672-99D41693067C}">
      <text>
        <r>
          <rPr>
            <b/>
            <sz val="9"/>
            <color indexed="81"/>
            <rFont val="Tahoma"/>
            <charset val="1"/>
          </rPr>
          <t>SCH - Scraper y paro glicolera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74" authorId="4" shapeId="0" xr:uid="{AA2D6AEA-1C02-4A3D-A3E5-BFB9B09D612D}">
      <text>
        <r>
          <rPr>
            <b/>
            <sz val="9"/>
            <color indexed="81"/>
            <rFont val="Tahoma"/>
            <charset val="1"/>
          </rPr>
          <t>SCH - Scraper y paro glicolera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74" authorId="4" shapeId="0" xr:uid="{C2548B9C-3137-407C-A155-83C7635401DF}">
      <text>
        <r>
          <rPr>
            <b/>
            <sz val="9"/>
            <color indexed="81"/>
            <rFont val="Tahoma"/>
            <charset val="1"/>
          </rPr>
          <t>SCH - Scraper y paro glicolera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74" authorId="4" shapeId="0" xr:uid="{0B9AAF5E-3FB8-4120-B845-AEF23FC73DF9}">
      <text>
        <r>
          <rPr>
            <b/>
            <sz val="9"/>
            <color indexed="81"/>
            <rFont val="Tahoma"/>
            <charset val="1"/>
          </rPr>
          <t>SCH - Scraper y paro glicolera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81" authorId="3" shapeId="0" xr:uid="{15B847F4-D121-4DD8-9F10-252D6E31039B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81" authorId="3" shapeId="0" xr:uid="{57213B02-8C61-4075-B69E-F8DB478FC8D7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81" authorId="3" shapeId="0" xr:uid="{2AFE8A2B-C2F9-4ADE-89C3-88B817507CE9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81" authorId="3" shapeId="0" xr:uid="{8D19F1F1-B282-48D2-8640-2CF639AC4DCD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81" authorId="3" shapeId="0" xr:uid="{90C2413B-DD46-43C0-A607-C59E6F3DBFD5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81" authorId="3" shapeId="0" xr:uid="{C14E47E2-3888-4500-B7DC-6F9FE812465B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81" authorId="3" shapeId="0" xr:uid="{9D440A0D-8804-485F-ACA6-C39BC1C0BD5C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81" authorId="3" shapeId="0" xr:uid="{0C7188FB-B71E-4838-9B08-77A89CDB6F62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81" authorId="3" shapeId="0" xr:uid="{B71FE648-24A2-4328-8C5B-1BF0C33E8CA5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81" authorId="3" shapeId="0" xr:uid="{DBE0FFC7-5E96-43D1-AFE7-68B82B0998B3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81" authorId="3" shapeId="0" xr:uid="{82D573FE-CDBE-487F-A81E-CA985B23A088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I81" authorId="3" shapeId="0" xr:uid="{982A99C1-C2DE-4B3C-A394-942BDFBC78B0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J81" authorId="3" shapeId="0" xr:uid="{49ACB0E5-6884-4C07-8ED1-C59A6A4FF907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K81" authorId="3" shapeId="0" xr:uid="{844F0343-E805-4D06-B303-3F3A01587585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L81" authorId="3" shapeId="0" xr:uid="{8DD42989-350C-4DB1-841E-51C554CD794A}">
      <text>
        <r>
          <rPr>
            <b/>
            <sz val="9"/>
            <color indexed="81"/>
            <rFont val="Tahoma"/>
            <family val="2"/>
          </rPr>
          <t>Mtto Roca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M81" authorId="3" shapeId="0" xr:uid="{B54AA1B1-CE39-43AD-B080-EF6A4D9C735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N81" authorId="3" shapeId="0" xr:uid="{0D5A3668-27BB-4223-930A-07F61AD85B7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O81" authorId="3" shapeId="0" xr:uid="{63925102-AA87-47B9-8174-38A19EFE643E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P81" authorId="3" shapeId="0" xr:uid="{E03B2CE8-F176-4096-9791-7998257C51BA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Q81" authorId="3" shapeId="0" xr:uid="{F3E47B93-9FDF-4F78-8280-52DB9043286D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R81" authorId="3" shapeId="0" xr:uid="{F8E9FE2D-CC82-4CF2-B6AA-54741D105E0E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AS81" authorId="3" shapeId="0" xr:uid="{DDDEFF48-0664-4915-BCF7-C7ADFE30F941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Lujan de Cuyo</t>
        </r>
      </text>
    </comment>
    <comment ref="Q82" authorId="3" shapeId="0" xr:uid="{17C99A72-0D5B-4524-8D2B-E4F7208A4EA0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82" authorId="3" shapeId="0" xr:uid="{C223F4C9-408A-4010-BE4B-0416BC3C656A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82" authorId="3" shapeId="0" xr:uid="{DE9FD79A-ECFE-48BB-A94A-4DB093FA0061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82" authorId="3" shapeId="0" xr:uid="{A36A8860-FAD6-4DA3-9294-ADDECBE3CC49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82" authorId="3" shapeId="0" xr:uid="{32280A7E-6CAD-4224-8414-BD621E609F02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82" authorId="3" shapeId="0" xr:uid="{EDB08652-681D-4E83-9270-0BB283167736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82" authorId="3" shapeId="0" xr:uid="{FF1A25FA-E6F3-4A6A-A924-DB40FAA603FD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82" authorId="3" shapeId="0" xr:uid="{E047AE0B-8E77-4C79-9A2B-F20E37E8A9D8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82" authorId="3" shapeId="0" xr:uid="{9095E666-C82F-4626-B0E5-57ED41F1B4FD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82" authorId="3" shapeId="0" xr:uid="{6F22C997-7E64-4D15-8666-04C4F7B4796D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82" authorId="3" shapeId="0" xr:uid="{7BBB0F8F-46D0-4E32-965E-D8C62EFB54AF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82" authorId="3" shapeId="0" xr:uid="{FAB0029E-9CD9-44DE-904E-6CCCC7E8E6E1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82" authorId="3" shapeId="0" xr:uid="{FEB936D4-AFE9-4EC8-BEA8-85E0B8460234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82" authorId="3" shapeId="0" xr:uid="{BE36B387-3C89-4679-8EAD-6687552B8AD8}">
      <text>
        <r>
          <rPr>
            <b/>
            <sz val="9"/>
            <color indexed="81"/>
            <rFont val="Tahoma"/>
            <family val="2"/>
          </rPr>
          <t>Mtto turbina MEGA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2" authorId="3" shapeId="0" xr:uid="{F540534F-615B-4610-A626-3AA7D6230FCD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E92" authorId="3" shapeId="0" xr:uid="{1F71BC91-A046-4348-B3D9-28CD794FB392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F92" authorId="3" shapeId="0" xr:uid="{C7D15F68-BEB4-4C06-9642-D54CFA28F897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G92" authorId="3" shapeId="0" xr:uid="{E7AF29F6-D516-40E8-A0DC-1D5EADA51246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H92" authorId="3" shapeId="0" xr:uid="{76CF9914-28A7-4A21-96E0-9464B56550A5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I92" authorId="3" shapeId="0" xr:uid="{1F694055-BCB3-4B27-85EA-E2768F82D033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J92" authorId="3" shapeId="0" xr:uid="{FEBDF99F-8DE8-49C2-94F2-7D9BE60D5596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K92" authorId="3" shapeId="0" xr:uid="{58A8A322-A115-4778-A277-0B53B5FF8D1F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L92" authorId="3" shapeId="0" xr:uid="{5340C912-A1FF-49FE-BE2A-8EB988B7C1D6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M92" authorId="3" shapeId="0" xr:uid="{69196D62-3788-4A1A-B235-D369A4A57B03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N92" authorId="3" shapeId="0" xr:uid="{52097716-EE53-438E-8A59-1F3213ABFE01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O92" authorId="3" shapeId="0" xr:uid="{CF152902-D9A1-4145-A0AC-34AA6B30ADBB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P92" authorId="3" shapeId="0" xr:uid="{9C6B7F6C-6318-4736-BB77-211817C2085C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Q92" authorId="3" shapeId="0" xr:uid="{2EF9B11F-80BF-4668-ADB7-A2DDFA3A7B61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R92" authorId="3" shapeId="0" xr:uid="{CA2ACFB9-5F73-4D18-87CF-9957BB80FB5A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S92" authorId="3" shapeId="0" xr:uid="{40DC1679-617A-441E-BA25-0BDEF5174404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T92" authorId="3" shapeId="0" xr:uid="{51175942-2059-4992-8961-D68CD0956956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U92" authorId="3" shapeId="0" xr:uid="{C89B4467-5720-47F3-8C90-71ECD23F6257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V92" authorId="3" shapeId="0" xr:uid="{E8DEBEE2-0622-4990-B4D1-30C4737979E8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W92" authorId="3" shapeId="0" xr:uid="{876D6CF9-CFD8-4585-8CFB-BDF5A93DF460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X92" authorId="3" shapeId="0" xr:uid="{60B14272-2542-488A-93DF-F2CBE5EEDE3A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Y92" authorId="3" shapeId="0" xr:uid="{85B179C0-CAD1-4133-A6B2-410C3CEECA0F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Z92" authorId="3" shapeId="0" xr:uid="{940CEF55-57B7-4327-8E32-3B277ED28A57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A92" authorId="3" shapeId="0" xr:uid="{507E1006-2EC0-4310-9B00-524CD1E02F23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B92" authorId="3" shapeId="0" xr:uid="{6A4F63AB-CD61-4BDD-9D44-E55A7E1FB6E9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C92" authorId="3" shapeId="0" xr:uid="{F58C6763-D7D6-4D60-A1D4-EEA60C142E87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D92" authorId="3" shapeId="0" xr:uid="{F17936E7-C15D-48E1-B598-6ABA8EF74B4F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E92" authorId="3" shapeId="0" xr:uid="{6E632AD7-17F5-421C-93FA-76ACDFF07A8E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F92" authorId="3" shapeId="0" xr:uid="{28A714D0-52B5-4C5F-BF17-2225AB3D9DD6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G92" authorId="3" shapeId="0" xr:uid="{E01AF446-101D-43DA-A4EA-1A032E472D46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H92" authorId="3" shapeId="0" xr:uid="{8DF2292D-F482-4A73-945E-7FE3FB351DFF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I92" authorId="3" shapeId="0" xr:uid="{D95D0701-A1FC-4FDA-9E82-F3E62B4205FE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J92" authorId="3" shapeId="0" xr:uid="{69995150-9B81-4FFF-A0BF-F5C4433CF9B3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K92" authorId="3" shapeId="0" xr:uid="{F0222F37-0621-47F7-A41B-36699FEAED40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L92" authorId="3" shapeId="0" xr:uid="{B28DA5C3-2A40-45D8-BF0A-EBFFB3BE8C67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M92" authorId="3" shapeId="0" xr:uid="{DAED870C-04EC-49FF-B0CC-D746706069DE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N92" authorId="3" shapeId="0" xr:uid="{771B632D-E42D-4552-BB06-ABBE446B7186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O92" authorId="3" shapeId="0" xr:uid="{3FD3C01F-AF96-431E-99C9-5F5F3D9D2EB4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P92" authorId="3" shapeId="0" xr:uid="{BC1E0AE2-650A-471F-9EFA-748D0105080E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Q92" authorId="3" shapeId="0" xr:uid="{645D1EB8-6218-4E83-A8C0-F7942C8AE8C3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R92" authorId="3" shapeId="0" xr:uid="{4673AB90-4873-4F72-BD72-4552D600EA48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S92" authorId="3" shapeId="0" xr:uid="{258F18F2-DFFE-493E-BBED-6B4F0370D8F7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T92" authorId="3" shapeId="0" xr:uid="{39841F3C-EF6E-4B3A-8B47-6C90CF561110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U92" authorId="3" shapeId="0" xr:uid="{FE9D5489-BB50-4114-9B2A-BB80C47C70CB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V92" authorId="3" shapeId="0" xr:uid="{1E563CC8-C49D-4D28-9CF2-D25F5F93B344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W92" authorId="3" shapeId="0" xr:uid="{3B1CF814-710D-48DA-9719-FB6B76CC9F70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X92" authorId="3" shapeId="0" xr:uid="{3EBDBC6F-A9FE-4A73-A639-42F71569C03A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Y92" authorId="3" shapeId="0" xr:uid="{C52D8998-0427-4836-94E7-373F5D163F3F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AZ92" authorId="3" shapeId="0" xr:uid="{E0C0D061-2C9A-4817-863C-7BEFE40E68F1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A92" authorId="3" shapeId="0" xr:uid="{1B426C19-EB39-47B5-BEFA-9AFC112AF5D2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B92" authorId="3" shapeId="0" xr:uid="{03BF767E-9146-4467-B0E6-CBAAE85EC6A1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C92" authorId="3" shapeId="0" xr:uid="{9CF022DB-45E3-4E2B-AA6D-2E3606020001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D92" authorId="3" shapeId="0" xr:uid="{6B01727B-52E0-40DB-9756-0188FF5C15A1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E92" authorId="3" shapeId="0" xr:uid="{17D3BC1E-C41B-48F2-9D69-7675C8C70723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F92" authorId="3" shapeId="0" xr:uid="{0B1039C9-8279-445E-9CD8-91714FA021D1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G92" authorId="3" shapeId="0" xr:uid="{BCF877F7-29F0-4E6C-B67F-03651F121F58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H92" authorId="3" shapeId="0" xr:uid="{379C42E8-4B3E-423B-B1A1-2F0050338497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I92" authorId="3" shapeId="0" xr:uid="{17995582-AE98-4FCF-A009-37933A3F66DB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J92" authorId="3" shapeId="0" xr:uid="{20B26FDA-055F-47E2-A86F-538153739AD1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K92" authorId="3" shapeId="0" xr:uid="{816F1FDD-988E-4522-8F60-6DF79C3BCFD5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BL92" authorId="3" shapeId="0" xr:uid="{B9D72091-AA1E-4AE6-974B-3AC938C0B2F8}">
      <text>
        <r>
          <rPr>
            <b/>
            <sz val="9"/>
            <color indexed="81"/>
            <rFont val="Tahoma"/>
            <family val="2"/>
          </rPr>
          <t>Prueba hidaulica gto troncal. Tramo 10</t>
        </r>
        <r>
          <rPr>
            <sz val="9"/>
            <color indexed="81"/>
            <rFont val="Tahoma"/>
            <family val="2"/>
          </rPr>
          <t xml:space="preserve">
Desde PK 1245 a Pk 1311
Duracion: 90 dias</t>
        </r>
      </text>
    </comment>
    <comment ref="U94" authorId="0" shapeId="0" xr:uid="{E2732B52-76B4-4443-9598-4A760CF644BE}">
      <text>
        <r>
          <rPr>
            <sz val="11"/>
            <color theme="1"/>
            <rFont val="Aptos Narrow"/>
            <family val="2"/>
            <scheme val="minor"/>
          </rPr>
          <t>Reparación de fallas en descarga de Pta Barker
1 día 
Impacto 11 MM</t>
        </r>
      </text>
    </comment>
    <comment ref="AB94" authorId="0" shapeId="0" xr:uid="{AE83AC99-AEB2-4644-A978-F574D2E624F9}">
      <text>
        <r>
          <rPr>
            <sz val="11"/>
            <color theme="1"/>
            <rFont val="Aptos Narrow"/>
            <family val="2"/>
            <scheme val="minor"/>
          </rPr>
          <t>Tie-In Loop NII a la descarga Ordoqui para nueva Planta
1 día 
Impacto 10 MM
Planta Ordoqui
Paro Anual PJ1 y puesta E/S separador N°3
36 Hs
Impacto 10 MM</t>
        </r>
      </text>
    </comment>
    <comment ref="AI94" authorId="0" shapeId="0" xr:uid="{2C56735C-5382-4CE5-9F92-B3968AE36E34}">
      <text>
        <r>
          <rPr>
            <sz val="11"/>
            <color theme="1"/>
            <rFont val="Aptos Narrow"/>
            <family val="2"/>
            <scheme val="minor"/>
          </rPr>
          <t>Tie-In NII a la descarga Ordoqui para nueva Planta
1 día 
Impacto 5 MM</t>
        </r>
      </text>
    </comment>
    <comment ref="AP94" authorId="0" shapeId="0" xr:uid="{1C7DD659-B907-4442-8022-FCBEA9D94A27}">
      <text>
        <r>
          <rPr>
            <sz val="11"/>
            <color theme="1"/>
            <rFont val="Aptos Narrow"/>
            <family val="2"/>
            <scheme val="minor"/>
          </rPr>
          <t>Tie-In a la succión Ordoqui para nueva Planta
1 día 
Impacto 7 MM</t>
        </r>
      </text>
    </comment>
    <comment ref="AW94" authorId="0" shapeId="0" xr:uid="{7AA7C69C-F90E-423A-89F8-EE55A9D57962}">
      <text>
        <r>
          <rPr>
            <sz val="11"/>
            <color theme="1"/>
            <rFont val="Aptos Narrow"/>
            <family val="2"/>
            <scheme val="minor"/>
          </rPr>
          <t>Tie-In a la succión Ordoqui para nueva Planta
1 día 
Impacto 4 MM</t>
        </r>
      </text>
    </comment>
    <comment ref="BD94" authorId="1" shapeId="0" xr:uid="{17410C6D-F26D-4DE8-8958-3FADB921BC9C}">
      <text>
        <r>
          <rPr>
            <sz val="11"/>
            <color theme="1"/>
            <rFont val="Aptos Narrow"/>
            <family val="2"/>
            <scheme val="minor"/>
          </rPr>
          <t xml:space="preserve">Tie-In a la descarga de Saturno para nueva Planta
1 día
Impacto 8 MM
</t>
        </r>
      </text>
    </comment>
    <comment ref="X101" authorId="3" shapeId="0" xr:uid="{DADD1718-0DF8-4E1C-A800-9069952E2F4A}">
      <text>
        <r>
          <rPr>
            <sz val="9"/>
            <color indexed="81"/>
            <rFont val="Tahoma"/>
            <family val="2"/>
          </rPr>
          <t xml:space="preserve">Paro de planta
</t>
        </r>
      </text>
    </comment>
    <comment ref="D106" authorId="0" shapeId="0" xr:uid="{093947EF-E049-4039-A54C-ABF70AB5E0A3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E106" authorId="0" shapeId="0" xr:uid="{1231A4DE-BFC8-4174-BEE2-18BEA0EE6CDB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F106" authorId="0" shapeId="0" xr:uid="{10B2EC86-8A0F-4BA4-BCEB-AC47BA03A116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G106" authorId="0" shapeId="0" xr:uid="{D6CEA1F7-07D1-4FBF-A3C6-C04A89F8CDB0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H106" authorId="0" shapeId="0" xr:uid="{B3544D59-F867-4B21-9A32-727F6733CB0D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I106" authorId="0" shapeId="0" xr:uid="{AFD019D2-5890-4C86-9F9C-72B391879759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J106" authorId="0" shapeId="0" xr:uid="{0C290933-CC06-4C9F-8AC2-908A1A469549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K106" authorId="0" shapeId="0" xr:uid="{30F511BE-86C2-492E-9307-A84798CEB1EB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L106" authorId="0" shapeId="0" xr:uid="{28169758-4893-4826-98AA-D3EC1B04AE6A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M106" authorId="0" shapeId="0" xr:uid="{3CF3DD05-E43A-475D-8A0D-0E529F4FE29D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N106" authorId="0" shapeId="0" xr:uid="{BFC45FEA-1382-46DC-AEA1-6A2EB2428E6E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O106" authorId="0" shapeId="0" xr:uid="{4C3FFB07-D2AE-47B8-8412-5FB5DC0A2CC1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P106" authorId="0" shapeId="0" xr:uid="{20AD9A18-F4DE-4F97-9951-286E037A1031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Q106" authorId="0" shapeId="0" xr:uid="{48619179-C3CD-41DB-9FE7-5F459A1BB196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R106" authorId="0" shapeId="0" xr:uid="{4EBFB4A9-8F1F-4AFA-B8F7-21CE507C4228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S106" authorId="0" shapeId="0" xr:uid="{39AEF865-77D0-4FFA-A50E-247959444862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T106" authorId="0" shapeId="0" xr:uid="{489643A4-EC55-4E21-BEEC-1A0B75BB9E0E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U106" authorId="0" shapeId="0" xr:uid="{CB8E7E72-9891-4AB2-92EB-A9A05F3C16F1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V106" authorId="0" shapeId="0" xr:uid="{BF2B03FF-8D01-4A1D-A71E-AF46B6745B6B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W106" authorId="0" shapeId="0" xr:uid="{94E1BCED-85F7-4FAA-BFCA-85A1B9D7998B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X106" authorId="0" shapeId="0" xr:uid="{BD927C34-34CB-482E-86E6-1946670EE8D7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Y106" authorId="0" shapeId="0" xr:uid="{536FB131-B3D8-48CD-BF5A-A0E91258FE39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Z106" authorId="0" shapeId="0" xr:uid="{48884CA6-E3DC-40DB-BF14-D7276902EB3A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A106" authorId="0" shapeId="0" xr:uid="{252C213F-7262-4D2B-AE93-3EF7BD5C74DA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B106" authorId="0" shapeId="0" xr:uid="{1C819AE1-8A84-4190-B29F-579C83F7FD48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C106" authorId="0" shapeId="0" xr:uid="{C4CA33B8-1B16-46B7-8489-A4FF18E41CB2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D106" authorId="0" shapeId="0" xr:uid="{76046265-6C74-4D8B-A441-E4D6C0C4A362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E106" authorId="0" shapeId="0" xr:uid="{0179C5BC-8D5F-45A3-91A3-A12E1A6F3AD9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F106" authorId="0" shapeId="0" xr:uid="{88084089-D0CA-4EDE-8DD0-55185B8089B1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G106" authorId="0" shapeId="0" xr:uid="{EC96C824-E026-459D-90EA-01CD9F1FEBD5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H106" authorId="0" shapeId="0" xr:uid="{86B6DC46-D77E-4FB8-A4F4-7E4CAC8A5871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I106" authorId="0" shapeId="0" xr:uid="{5734149A-DC91-4DFF-8FEA-8CA0DED2295D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J106" authorId="0" shapeId="0" xr:uid="{6B3A24EC-4DE3-4788-A43B-80275A323B82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K106" authorId="0" shapeId="0" xr:uid="{578AF2F0-6559-40AC-B439-AC835BA517F3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L106" authorId="0" shapeId="0" xr:uid="{77D21820-A6CA-42CA-B7DB-2EECFBE37470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M106" authorId="0" shapeId="0" xr:uid="{B6BA5C83-2E6C-4FD2-88C4-C61C1A403033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N106" authorId="0" shapeId="0" xr:uid="{BC72C660-0B6E-4A4F-A806-B444918DFD2E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O106" authorId="0" shapeId="0" xr:uid="{C3ACF05D-AC19-4F8A-9EBF-E3715252AB5F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P106" authorId="0" shapeId="0" xr:uid="{4A96BE29-9F4B-4282-B9BD-81AE3EDD9568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Q106" authorId="0" shapeId="0" xr:uid="{4D09F68E-CD7C-4C16-8AFA-123882464491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R106" authorId="0" shapeId="0" xr:uid="{AC4DBD18-B3FE-4638-8C92-9B4066786C10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S106" authorId="0" shapeId="0" xr:uid="{762A6E7E-9E46-4703-B9A0-F1E2A455C651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T106" authorId="0" shapeId="0" xr:uid="{84B60129-F552-4D02-9C27-8B8D4CFA5DC2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U106" authorId="0" shapeId="0" xr:uid="{BD62197C-A250-44DC-B8BC-ECF5E402E5B8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V106" authorId="0" shapeId="0" xr:uid="{D2040D16-F017-46C7-899E-CFF96524BA28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W106" authorId="0" shapeId="0" xr:uid="{22B6F6DA-4E74-40C6-BA88-4B7C35BCE45E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X106" authorId="0" shapeId="0" xr:uid="{5311FB1D-1ED6-445A-A885-C63E7E915275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Y106" authorId="0" shapeId="0" xr:uid="{F119C672-9234-4BA9-B234-F4463FFF4C6B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AZ106" authorId="0" shapeId="0" xr:uid="{AD9AFE2A-7F03-47CC-8452-DA07DE102D49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A106" authorId="0" shapeId="0" xr:uid="{9A035F83-3437-4D6A-A8B6-D5B3ED09A7FB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B106" authorId="0" shapeId="0" xr:uid="{FE18F9BF-3B12-42C9-826F-9FF260597DB4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C106" authorId="0" shapeId="0" xr:uid="{99C5BC8B-4B20-4414-AC8C-5A7F3C9FCECF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D106" authorId="0" shapeId="0" xr:uid="{675DCCB1-9D3B-4DCD-9FFB-D471951A6E7E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E106" authorId="0" shapeId="0" xr:uid="{746EB43A-A65E-4388-9E4C-29D5E8F8B273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F106" authorId="0" shapeId="0" xr:uid="{3B7D82C5-8D0D-43C8-BC8F-5D85AC80E541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G106" authorId="0" shapeId="0" xr:uid="{108464B3-2D72-4F32-8124-0C07AD211049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H106" authorId="0" shapeId="0" xr:uid="{FFED03EA-2C66-48E7-B784-6E32A1DF24B2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I106" authorId="0" shapeId="0" xr:uid="{F30115F6-40A3-4DA3-8E3B-CC4A4452E25A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J106" authorId="0" shapeId="0" xr:uid="{2DD407A6-523D-41C5-8DD5-7D111124E79F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K106" authorId="0" shapeId="0" xr:uid="{5CC3C5D4-DBEF-4E59-AC44-B142093F2502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L106" authorId="0" shapeId="0" xr:uid="{168ADD90-3DA5-4BFA-9017-FC5E0C29C5B2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M106" authorId="0" shapeId="0" xr:uid="{00DCAA8C-6EBC-4546-A734-5BB8B018E1EE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N106" authorId="0" shapeId="0" xr:uid="{F32A52D8-603A-4005-A0E5-4407EB3EE834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O106" authorId="0" shapeId="0" xr:uid="{419890E8-44BE-43B6-B08E-3339B036E854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P106" authorId="0" shapeId="0" xr:uid="{97A50124-FF4E-421E-8947-31DDE7594A09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Q106" authorId="0" shapeId="0" xr:uid="{071EAF21-688B-45E5-81D2-7268166A3286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R106" authorId="0" shapeId="0" xr:uid="{BD6701AA-500C-4C02-A56D-2BF286847247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S106" authorId="0" shapeId="0" xr:uid="{BC15E174-A6AB-46B3-9725-36EE628F0161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T106" authorId="0" shapeId="0" xr:uid="{F352571C-0EA9-4927-A6D0-DD76123FEE8E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U106" authorId="0" shapeId="0" xr:uid="{8520DE30-06C6-4121-8335-FCA7F0FFDF65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V106" authorId="0" shapeId="0" xr:uid="{BC8357F9-C712-4E93-BF86-798EE00AFCBF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W106" authorId="0" shapeId="0" xr:uid="{A8083F01-D746-4DB1-8C3D-EAFFC59B64F6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X106" authorId="0" shapeId="0" xr:uid="{AB807FAB-45E0-45AF-9B34-9E8A839095B0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Y106" authorId="0" shapeId="0" xr:uid="{6B856ADA-A3EB-4615-B015-9E4E725A1E17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BZ106" authorId="0" shapeId="0" xr:uid="{DD6C66F5-EA67-4655-B8F4-7541211F7A87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A106" authorId="0" shapeId="0" xr:uid="{290BF720-66A9-4667-AF3C-337706B0AA8F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B106" authorId="0" shapeId="0" xr:uid="{E84D3E3A-5162-448B-B569-4327BA253D7F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C106" authorId="0" shapeId="0" xr:uid="{063BF3B7-96EB-4DBC-9810-3F3D4DCCE0EE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D106" authorId="0" shapeId="0" xr:uid="{89FBD007-9DF9-4F06-8A15-79C83C5493BB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E106" authorId="0" shapeId="0" xr:uid="{228ED386-7230-48D7-AB47-26B95F159D1A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F106" authorId="0" shapeId="0" xr:uid="{15CD32D6-888A-4183-9696-676FC9B259BD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G106" authorId="0" shapeId="0" xr:uid="{A1A18B2A-E6CC-4E0B-A91A-BA14598002C8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H106" authorId="0" shapeId="0" xr:uid="{33943810-C277-47E0-8CB5-C4C2E79EB612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I106" authorId="0" shapeId="0" xr:uid="{965981FE-C99B-4807-924F-FF9E11403158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J106" authorId="0" shapeId="0" xr:uid="{D8B53172-C891-4B02-BD97-7CB1F4777C91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K106" authorId="0" shapeId="0" xr:uid="{3A4DC573-C310-453F-8217-B9977610D025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L106" authorId="0" shapeId="0" xr:uid="{E952A9A8-14D9-4E94-944D-2BD0D7A7379D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M106" authorId="0" shapeId="0" xr:uid="{A9A21C92-4E25-4CB2-AF20-A17D7F2B261F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N106" authorId="0" shapeId="0" xr:uid="{BAAE8280-E1C6-48B8-8508-A3CBE3C37F4C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O106" authorId="0" shapeId="0" xr:uid="{38FED560-B7CB-4654-AE68-3244CBB92386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P106" authorId="0" shapeId="0" xr:uid="{BA66D599-0110-4B00-80D0-CDE125834A26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  <comment ref="CQ106" authorId="0" shapeId="0" xr:uid="{B952E72A-459C-484D-B078-99FF3889D16B}">
      <text>
        <r>
          <rPr>
            <b/>
            <sz val="12"/>
            <color indexed="81"/>
            <rFont val="Tahoma"/>
            <family val="2"/>
          </rPr>
          <t xml:space="preserve">Cammesa:  </t>
        </r>
        <r>
          <rPr>
            <sz val="12"/>
            <color indexed="81"/>
            <rFont val="Tahoma"/>
            <family val="2"/>
          </rPr>
          <t xml:space="preserve">
Salida de servicio por mantenimiento  
Atucha I  -1.5 MM m³/d (3 años)
</t>
        </r>
      </text>
    </comment>
  </commentList>
</comments>
</file>

<file path=xl/sharedStrings.xml><?xml version="1.0" encoding="utf-8"?>
<sst xmlns="http://schemas.openxmlformats.org/spreadsheetml/2006/main" count="598" uniqueCount="61">
  <si>
    <t xml:space="preserve"> *</t>
  </si>
  <si>
    <t>Empresa</t>
  </si>
  <si>
    <t>Mes / Día</t>
  </si>
  <si>
    <t>Jue</t>
  </si>
  <si>
    <t>Vie</t>
  </si>
  <si>
    <t>Sáb</t>
  </si>
  <si>
    <t>Dom</t>
  </si>
  <si>
    <t>Lun</t>
  </si>
  <si>
    <t>Mar</t>
  </si>
  <si>
    <t>Mié</t>
  </si>
  <si>
    <t>TGS</t>
  </si>
  <si>
    <t xml:space="preserve">Capacidad de Transporte </t>
  </si>
  <si>
    <t>CUENCA SUR</t>
  </si>
  <si>
    <t>Impacto Real</t>
  </si>
  <si>
    <t>ASIST TGS / TGN</t>
  </si>
  <si>
    <t>YPF</t>
  </si>
  <si>
    <t xml:space="preserve">Disponibilidad </t>
  </si>
  <si>
    <t xml:space="preserve">Impacto Real </t>
  </si>
  <si>
    <t>TOTAL</t>
  </si>
  <si>
    <t xml:space="preserve">PAE </t>
  </si>
  <si>
    <t>CGC</t>
  </si>
  <si>
    <t>PSM (ex ENAP)</t>
  </si>
  <si>
    <t>CROWN (Ex TECPETROL)</t>
  </si>
  <si>
    <t>ROCH</t>
  </si>
  <si>
    <t>ALUAR</t>
  </si>
  <si>
    <t>EXPO METHANEX</t>
  </si>
  <si>
    <t>CAMMESA</t>
  </si>
  <si>
    <t>CERRI</t>
  </si>
  <si>
    <t>RESTR. TRANSPORTE</t>
  </si>
  <si>
    <t>RESTR. INYECCION</t>
  </si>
  <si>
    <t>Restricción efectiva</t>
  </si>
  <si>
    <t xml:space="preserve">CUENCA OESTE      </t>
  </si>
  <si>
    <t>TGN</t>
  </si>
  <si>
    <t>TGN - Gas Pacifico</t>
  </si>
  <si>
    <t> </t>
  </si>
  <si>
    <t>Enarsa - Gasoducto GPM</t>
  </si>
  <si>
    <t>YPF LLL</t>
  </si>
  <si>
    <t>YPF RDM</t>
  </si>
  <si>
    <t>YPF LOMA CAMPANA</t>
  </si>
  <si>
    <t>YPF NEUBA 1</t>
  </si>
  <si>
    <t>YPF GPA</t>
  </si>
  <si>
    <t>Gasoducto Vaca Muerta</t>
  </si>
  <si>
    <t>PLUSPETROL</t>
  </si>
  <si>
    <t>TECPETROL</t>
  </si>
  <si>
    <t>PAE</t>
  </si>
  <si>
    <t>GAS MEDANITO</t>
  </si>
  <si>
    <t>CAPEX</t>
  </si>
  <si>
    <t xml:space="preserve">PAMPA </t>
  </si>
  <si>
    <t>Vista Oil &amp; Gas</t>
  </si>
  <si>
    <t>PROFERTIL</t>
  </si>
  <si>
    <t>EXPO GAS ANDES</t>
  </si>
  <si>
    <t>CONSUMO ZONA CUYO</t>
  </si>
  <si>
    <t>EXPO GAS PACIFICO</t>
  </si>
  <si>
    <t>MEGA</t>
  </si>
  <si>
    <t>RESTR. INY REAL</t>
  </si>
  <si>
    <t xml:space="preserve">CUENCA NORTE + TRAMOS FINALES </t>
  </si>
  <si>
    <t>Enarsa - Gasoducto 
Mercedes - Cardales</t>
  </si>
  <si>
    <t>ENARSA (BOLIVIA+NAA)</t>
  </si>
  <si>
    <t>GNL ESCOBAR</t>
  </si>
  <si>
    <t>EXPO URUGUYANA</t>
  </si>
  <si>
    <t>REFINOR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</si>
</sst>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m\-yyyy"/>
    <numFmt numFmtId="165" formatCode="_ * #,##0.00_ ;_ * \-#,##0.00_ ;_ * &quot;-&quot;??_ ;_ @_ "/>
    <numFmt numFmtId="166" formatCode="0.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9"/>
      <color indexed="10"/>
      <name val="Arial"/>
      <family val="2"/>
    </font>
    <font>
      <b/>
      <sz val="11"/>
      <name val="Arial"/>
      <family val="2"/>
    </font>
    <font>
      <sz val="10"/>
      <color rgb="FF0000FF"/>
      <name val="Aptos Narrow"/>
      <family val="2"/>
      <scheme val="minor"/>
    </font>
    <font>
      <b/>
      <sz val="12"/>
      <color indexed="9"/>
      <name val="Arial"/>
      <family val="2"/>
    </font>
    <font>
      <b/>
      <sz val="9"/>
      <color indexed="81"/>
      <name val="Tahoma"/>
      <family val="2"/>
    </font>
    <font>
      <b/>
      <sz val="20"/>
      <name val="Arial"/>
      <family val="2"/>
    </font>
    <font>
      <b/>
      <sz val="11"/>
      <color rgb="FFFFFFFF"/>
      <name val="Arial"/>
      <family val="2"/>
    </font>
    <font>
      <b/>
      <sz val="11"/>
      <color indexed="1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8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8FCACD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E959E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25">
    <xf numFmtId="0" fontId="0" fillId="0" borderId="0" xfId="0"/>
    <xf numFmtId="164" fontId="0" fillId="0" borderId="0" xfId="0" applyNumberFormat="1"/>
    <xf numFmtId="43" fontId="0" fillId="0" borderId="0" xfId="1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7" fontId="4" fillId="2" borderId="2" xfId="0" applyNumberFormat="1" applyFont="1" applyFill="1" applyBorder="1" applyAlignment="1">
      <alignment horizontal="center"/>
    </xf>
    <xf numFmtId="0" fontId="6" fillId="0" borderId="4" xfId="0" applyFont="1" applyBorder="1"/>
    <xf numFmtId="0" fontId="5" fillId="4" borderId="6" xfId="0" applyFont="1" applyFill="1" applyBorder="1" applyAlignment="1">
      <alignment horizontal="left" vertical="center"/>
    </xf>
    <xf numFmtId="0" fontId="5" fillId="5" borderId="9" xfId="0" applyFont="1" applyFill="1" applyBorder="1"/>
    <xf numFmtId="0" fontId="5" fillId="5" borderId="10" xfId="0" applyFont="1" applyFill="1" applyBorder="1"/>
    <xf numFmtId="0" fontId="5" fillId="5" borderId="11" xfId="0" applyFont="1" applyFill="1" applyBorder="1"/>
    <xf numFmtId="0" fontId="5" fillId="5" borderId="12" xfId="0" applyFont="1" applyFill="1" applyBorder="1"/>
    <xf numFmtId="0" fontId="5" fillId="5" borderId="13" xfId="0" applyFont="1" applyFill="1" applyBorder="1"/>
    <xf numFmtId="0" fontId="5" fillId="5" borderId="14" xfId="0" applyFont="1" applyFill="1" applyBorder="1"/>
    <xf numFmtId="0" fontId="5" fillId="5" borderId="15" xfId="0" applyFont="1" applyFill="1" applyBorder="1"/>
    <xf numFmtId="0" fontId="8" fillId="6" borderId="1" xfId="0" applyFont="1" applyFill="1" applyBorder="1"/>
    <xf numFmtId="0" fontId="8" fillId="6" borderId="10" xfId="0" applyFont="1" applyFill="1" applyBorder="1"/>
    <xf numFmtId="0" fontId="8" fillId="6" borderId="12" xfId="0" applyFont="1" applyFill="1" applyBorder="1"/>
    <xf numFmtId="0" fontId="9" fillId="7" borderId="1" xfId="0" applyFont="1" applyFill="1" applyBorder="1"/>
    <xf numFmtId="0" fontId="5" fillId="7" borderId="15" xfId="0" applyFont="1" applyFill="1" applyBorder="1"/>
    <xf numFmtId="0" fontId="10" fillId="8" borderId="0" xfId="0" applyFont="1" applyFill="1" applyAlignment="1">
      <alignment horizontal="left" vertical="center" wrapText="1"/>
    </xf>
    <xf numFmtId="0" fontId="6" fillId="0" borderId="9" xfId="0" applyFont="1" applyBorder="1"/>
    <xf numFmtId="0" fontId="6" fillId="0" borderId="11" xfId="0" applyFont="1" applyBorder="1"/>
    <xf numFmtId="0" fontId="6" fillId="0" borderId="16" xfId="0" applyFont="1" applyBorder="1"/>
    <xf numFmtId="0" fontId="5" fillId="5" borderId="17" xfId="0" applyFont="1" applyFill="1" applyBorder="1"/>
    <xf numFmtId="0" fontId="5" fillId="5" borderId="18" xfId="0" applyFont="1" applyFill="1" applyBorder="1"/>
    <xf numFmtId="0" fontId="5" fillId="5" borderId="3" xfId="0" applyFont="1" applyFill="1" applyBorder="1"/>
    <xf numFmtId="0" fontId="5" fillId="5" borderId="16" xfId="0" applyFont="1" applyFill="1" applyBorder="1"/>
    <xf numFmtId="0" fontId="5" fillId="5" borderId="19" xfId="0" applyFont="1" applyFill="1" applyBorder="1"/>
    <xf numFmtId="0" fontId="8" fillId="6" borderId="20" xfId="0" applyFont="1" applyFill="1" applyBorder="1"/>
    <xf numFmtId="0" fontId="8" fillId="6" borderId="21" xfId="0" applyFont="1" applyFill="1" applyBorder="1"/>
    <xf numFmtId="0" fontId="8" fillId="10" borderId="22" xfId="0" applyFont="1" applyFill="1" applyBorder="1"/>
    <xf numFmtId="0" fontId="8" fillId="10" borderId="23" xfId="0" applyFont="1" applyFill="1" applyBorder="1"/>
    <xf numFmtId="0" fontId="9" fillId="7" borderId="24" xfId="0" applyFont="1" applyFill="1" applyBorder="1"/>
    <xf numFmtId="0" fontId="5" fillId="7" borderId="25" xfId="0" applyFont="1" applyFill="1" applyBorder="1"/>
    <xf numFmtId="0" fontId="5" fillId="5" borderId="26" xfId="0" applyFont="1" applyFill="1" applyBorder="1"/>
    <xf numFmtId="0" fontId="5" fillId="5" borderId="4" xfId="0" applyFont="1" applyFill="1" applyBorder="1"/>
    <xf numFmtId="0" fontId="5" fillId="5" borderId="8" xfId="0" applyFont="1" applyFill="1" applyBorder="1"/>
    <xf numFmtId="0" fontId="5" fillId="5" borderId="27" xfId="0" applyFont="1" applyFill="1" applyBorder="1"/>
    <xf numFmtId="0" fontId="8" fillId="6" borderId="22" xfId="0" applyFont="1" applyFill="1" applyBorder="1"/>
    <xf numFmtId="0" fontId="8" fillId="6" borderId="23" xfId="0" applyFont="1" applyFill="1" applyBorder="1"/>
    <xf numFmtId="0" fontId="8" fillId="10" borderId="28" xfId="0" applyFont="1" applyFill="1" applyBorder="1"/>
    <xf numFmtId="0" fontId="9" fillId="7" borderId="29" xfId="0" applyFont="1" applyFill="1" applyBorder="1"/>
    <xf numFmtId="0" fontId="5" fillId="7" borderId="21" xfId="0" applyFont="1" applyFill="1" applyBorder="1"/>
    <xf numFmtId="166" fontId="0" fillId="16" borderId="33" xfId="0" applyNumberFormat="1" applyFill="1" applyBorder="1" applyAlignment="1">
      <alignment horizontal="center"/>
    </xf>
    <xf numFmtId="166" fontId="0" fillId="16" borderId="37" xfId="0" applyNumberFormat="1" applyFill="1" applyBorder="1" applyAlignment="1">
      <alignment horizontal="center"/>
    </xf>
    <xf numFmtId="166" fontId="0" fillId="16" borderId="38" xfId="0" applyNumberFormat="1" applyFill="1" applyBorder="1" applyAlignment="1">
      <alignment horizontal="center"/>
    </xf>
    <xf numFmtId="166" fontId="0" fillId="16" borderId="44" xfId="0" applyNumberFormat="1" applyFill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5" xfId="0" applyBorder="1"/>
    <xf numFmtId="166" fontId="0" fillId="16" borderId="41" xfId="0" applyNumberFormat="1" applyFill="1" applyBorder="1" applyAlignment="1">
      <alignment horizontal="center"/>
    </xf>
    <xf numFmtId="166" fontId="0" fillId="16" borderId="42" xfId="0" applyNumberFormat="1" applyFill="1" applyBorder="1" applyAlignment="1">
      <alignment horizontal="center"/>
    </xf>
    <xf numFmtId="166" fontId="0" fillId="16" borderId="43" xfId="0" applyNumberFormat="1" applyFill="1" applyBorder="1" applyAlignment="1">
      <alignment horizontal="center"/>
    </xf>
    <xf numFmtId="166" fontId="0" fillId="16" borderId="45" xfId="0" applyNumberFormat="1" applyFill="1" applyBorder="1" applyAlignment="1">
      <alignment horizontal="center"/>
    </xf>
    <xf numFmtId="0" fontId="0" fillId="8" borderId="42" xfId="0" applyFill="1" applyBorder="1"/>
    <xf numFmtId="166" fontId="3" fillId="9" borderId="46" xfId="0" applyNumberFormat="1" applyFont="1" applyFill="1" applyBorder="1" applyAlignment="1">
      <alignment horizontal="center"/>
    </xf>
    <xf numFmtId="0" fontId="0" fillId="8" borderId="43" xfId="0" applyFill="1" applyBorder="1"/>
    <xf numFmtId="166" fontId="0" fillId="0" borderId="42" xfId="0" applyNumberFormat="1" applyBorder="1" applyAlignment="1">
      <alignment horizontal="center"/>
    </xf>
    <xf numFmtId="0" fontId="0" fillId="8" borderId="45" xfId="0" applyFill="1" applyBorder="1"/>
    <xf numFmtId="166" fontId="0" fillId="0" borderId="41" xfId="0" applyNumberFormat="1" applyBorder="1" applyAlignment="1">
      <alignment horizontal="center"/>
    </xf>
    <xf numFmtId="166" fontId="0" fillId="0" borderId="43" xfId="0" applyNumberFormat="1" applyBorder="1" applyAlignment="1">
      <alignment horizontal="center"/>
    </xf>
    <xf numFmtId="166" fontId="0" fillId="0" borderId="45" xfId="0" applyNumberFormat="1" applyBorder="1" applyAlignment="1">
      <alignment horizontal="center"/>
    </xf>
    <xf numFmtId="166" fontId="3" fillId="9" borderId="43" xfId="0" applyNumberFormat="1" applyFont="1" applyFill="1" applyBorder="1" applyAlignment="1">
      <alignment horizontal="center"/>
    </xf>
    <xf numFmtId="0" fontId="0" fillId="0" borderId="24" xfId="0" applyBorder="1"/>
    <xf numFmtId="0" fontId="0" fillId="0" borderId="47" xfId="0" applyBorder="1"/>
    <xf numFmtId="0" fontId="0" fillId="0" borderId="25" xfId="0" applyBorder="1"/>
    <xf numFmtId="0" fontId="0" fillId="0" borderId="48" xfId="0" applyBorder="1"/>
    <xf numFmtId="0" fontId="0" fillId="0" borderId="40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2" fontId="0" fillId="5" borderId="33" xfId="0" applyNumberFormat="1" applyFill="1" applyBorder="1" applyAlignment="1">
      <alignment horizontal="center"/>
    </xf>
    <xf numFmtId="2" fontId="0" fillId="5" borderId="37" xfId="0" applyNumberFormat="1" applyFill="1" applyBorder="1" applyAlignment="1">
      <alignment horizontal="center"/>
    </xf>
    <xf numFmtId="2" fontId="0" fillId="5" borderId="38" xfId="0" applyNumberFormat="1" applyFill="1" applyBorder="1" applyAlignment="1">
      <alignment horizontal="center"/>
    </xf>
    <xf numFmtId="2" fontId="0" fillId="5" borderId="44" xfId="0" applyNumberFormat="1" applyFill="1" applyBorder="1" applyAlignment="1">
      <alignment horizontal="center"/>
    </xf>
    <xf numFmtId="166" fontId="0" fillId="9" borderId="41" xfId="0" applyNumberFormat="1" applyFill="1" applyBorder="1" applyAlignment="1">
      <alignment horizontal="center"/>
    </xf>
    <xf numFmtId="166" fontId="0" fillId="5" borderId="41" xfId="0" applyNumberFormat="1" applyFill="1" applyBorder="1" applyAlignment="1">
      <alignment horizontal="center"/>
    </xf>
    <xf numFmtId="166" fontId="0" fillId="5" borderId="42" xfId="0" applyNumberFormat="1" applyFill="1" applyBorder="1" applyAlignment="1">
      <alignment horizontal="center"/>
    </xf>
    <xf numFmtId="166" fontId="0" fillId="5" borderId="43" xfId="0" applyNumberFormat="1" applyFill="1" applyBorder="1" applyAlignment="1">
      <alignment horizontal="center"/>
    </xf>
    <xf numFmtId="166" fontId="0" fillId="5" borderId="45" xfId="0" applyNumberFormat="1" applyFill="1" applyBorder="1" applyAlignment="1">
      <alignment horizontal="center"/>
    </xf>
    <xf numFmtId="2" fontId="0" fillId="5" borderId="24" xfId="0" applyNumberFormat="1" applyFill="1" applyBorder="1" applyAlignment="1">
      <alignment horizontal="center"/>
    </xf>
    <xf numFmtId="2" fontId="0" fillId="5" borderId="47" xfId="0" applyNumberFormat="1" applyFill="1" applyBorder="1" applyAlignment="1">
      <alignment horizontal="center"/>
    </xf>
    <xf numFmtId="2" fontId="0" fillId="5" borderId="25" xfId="0" applyNumberFormat="1" applyFill="1" applyBorder="1" applyAlignment="1">
      <alignment horizontal="center"/>
    </xf>
    <xf numFmtId="2" fontId="0" fillId="5" borderId="48" xfId="0" applyNumberFormat="1" applyFill="1" applyBorder="1" applyAlignment="1">
      <alignment horizontal="center"/>
    </xf>
    <xf numFmtId="166" fontId="15" fillId="6" borderId="52" xfId="0" applyNumberFormat="1" applyFont="1" applyFill="1" applyBorder="1" applyAlignment="1">
      <alignment horizontal="center"/>
    </xf>
    <xf numFmtId="166" fontId="15" fillId="6" borderId="51" xfId="0" applyNumberFormat="1" applyFont="1" applyFill="1" applyBorder="1" applyAlignment="1">
      <alignment horizontal="center"/>
    </xf>
    <xf numFmtId="166" fontId="15" fillId="6" borderId="49" xfId="0" applyNumberFormat="1" applyFont="1" applyFill="1" applyBorder="1" applyAlignment="1">
      <alignment horizontal="center"/>
    </xf>
    <xf numFmtId="166" fontId="15" fillId="6" borderId="50" xfId="0" applyNumberFormat="1" applyFont="1" applyFill="1" applyBorder="1" applyAlignment="1">
      <alignment horizontal="center"/>
    </xf>
    <xf numFmtId="166" fontId="15" fillId="6" borderId="45" xfId="0" applyNumberFormat="1" applyFont="1" applyFill="1" applyBorder="1" applyAlignment="1">
      <alignment horizontal="center"/>
    </xf>
    <xf numFmtId="166" fontId="15" fillId="6" borderId="43" xfId="0" applyNumberFormat="1" applyFont="1" applyFill="1" applyBorder="1" applyAlignment="1">
      <alignment horizontal="center"/>
    </xf>
    <xf numFmtId="166" fontId="15" fillId="6" borderId="41" xfId="0" applyNumberFormat="1" applyFont="1" applyFill="1" applyBorder="1" applyAlignment="1">
      <alignment horizontal="center"/>
    </xf>
    <xf numFmtId="166" fontId="15" fillId="6" borderId="42" xfId="0" applyNumberFormat="1" applyFont="1" applyFill="1" applyBorder="1" applyAlignment="1">
      <alignment horizontal="center"/>
    </xf>
    <xf numFmtId="166" fontId="16" fillId="7" borderId="48" xfId="0" applyNumberFormat="1" applyFont="1" applyFill="1" applyBorder="1" applyAlignment="1">
      <alignment horizontal="center"/>
    </xf>
    <xf numFmtId="166" fontId="16" fillId="7" borderId="25" xfId="0" applyNumberFormat="1" applyFont="1" applyFill="1" applyBorder="1" applyAlignment="1">
      <alignment horizontal="center"/>
    </xf>
    <xf numFmtId="166" fontId="16" fillId="7" borderId="24" xfId="0" applyNumberFormat="1" applyFont="1" applyFill="1" applyBorder="1" applyAlignment="1">
      <alignment horizontal="center"/>
    </xf>
    <xf numFmtId="166" fontId="16" fillId="7" borderId="47" xfId="0" applyNumberFormat="1" applyFont="1" applyFill="1" applyBorder="1" applyAlignment="1">
      <alignment horizontal="center"/>
    </xf>
    <xf numFmtId="0" fontId="0" fillId="16" borderId="33" xfId="0" applyFill="1" applyBorder="1" applyAlignment="1">
      <alignment horizontal="center"/>
    </xf>
    <xf numFmtId="0" fontId="0" fillId="16" borderId="37" xfId="0" applyFill="1" applyBorder="1" applyAlignment="1">
      <alignment horizontal="center"/>
    </xf>
    <xf numFmtId="0" fontId="0" fillId="16" borderId="44" xfId="0" applyFill="1" applyBorder="1" applyAlignment="1">
      <alignment horizontal="center"/>
    </xf>
    <xf numFmtId="0" fontId="0" fillId="16" borderId="38" xfId="0" applyFill="1" applyBorder="1" applyAlignment="1">
      <alignment horizontal="center"/>
    </xf>
    <xf numFmtId="0" fontId="0" fillId="16" borderId="57" xfId="0" applyFill="1" applyBorder="1" applyAlignment="1">
      <alignment horizontal="center"/>
    </xf>
    <xf numFmtId="166" fontId="3" fillId="9" borderId="42" xfId="0" applyNumberFormat="1" applyFont="1" applyFill="1" applyBorder="1" applyAlignment="1">
      <alignment horizontal="center"/>
    </xf>
    <xf numFmtId="166" fontId="3" fillId="9" borderId="45" xfId="0" applyNumberFormat="1" applyFont="1" applyFill="1" applyBorder="1" applyAlignment="1">
      <alignment horizontal="center"/>
    </xf>
    <xf numFmtId="166" fontId="3" fillId="9" borderId="41" xfId="0" applyNumberFormat="1" applyFont="1" applyFill="1" applyBorder="1" applyAlignment="1">
      <alignment horizontal="center"/>
    </xf>
    <xf numFmtId="0" fontId="0" fillId="0" borderId="46" xfId="0" applyBorder="1"/>
    <xf numFmtId="166" fontId="2" fillId="16" borderId="42" xfId="0" applyNumberFormat="1" applyFont="1" applyFill="1" applyBorder="1" applyAlignment="1">
      <alignment horizontal="center"/>
    </xf>
    <xf numFmtId="166" fontId="0" fillId="16" borderId="46" xfId="0" applyNumberFormat="1" applyFill="1" applyBorder="1" applyAlignment="1">
      <alignment horizontal="center"/>
    </xf>
    <xf numFmtId="166" fontId="3" fillId="13" borderId="42" xfId="0" applyNumberFormat="1" applyFont="1" applyFill="1" applyBorder="1" applyAlignment="1">
      <alignment horizontal="center"/>
    </xf>
    <xf numFmtId="0" fontId="19" fillId="17" borderId="46" xfId="0" applyFont="1" applyFill="1" applyBorder="1" applyAlignment="1">
      <alignment horizontal="center" vertical="center"/>
    </xf>
    <xf numFmtId="0" fontId="19" fillId="17" borderId="42" xfId="0" applyFont="1" applyFill="1" applyBorder="1" applyAlignment="1">
      <alignment horizontal="center" vertical="center"/>
    </xf>
    <xf numFmtId="0" fontId="19" fillId="17" borderId="43" xfId="0" applyFont="1" applyFill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/>
    </xf>
    <xf numFmtId="166" fontId="0" fillId="0" borderId="46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0" fontId="0" fillId="0" borderId="58" xfId="0" applyBorder="1"/>
    <xf numFmtId="2" fontId="0" fillId="5" borderId="36" xfId="0" applyNumberFormat="1" applyFill="1" applyBorder="1" applyAlignment="1">
      <alignment horizontal="center"/>
    </xf>
    <xf numFmtId="2" fontId="0" fillId="5" borderId="50" xfId="0" applyNumberFormat="1" applyFill="1" applyBorder="1" applyAlignment="1">
      <alignment horizontal="center"/>
    </xf>
    <xf numFmtId="2" fontId="0" fillId="5" borderId="51" xfId="0" applyNumberFormat="1" applyFill="1" applyBorder="1" applyAlignment="1">
      <alignment horizontal="center"/>
    </xf>
    <xf numFmtId="166" fontId="0" fillId="18" borderId="42" xfId="0" applyNumberFormat="1" applyFill="1" applyBorder="1" applyAlignment="1">
      <alignment horizontal="center"/>
    </xf>
    <xf numFmtId="166" fontId="0" fillId="9" borderId="42" xfId="0" applyNumberFormat="1" applyFill="1" applyBorder="1" applyAlignment="1">
      <alignment horizontal="center"/>
    </xf>
    <xf numFmtId="166" fontId="0" fillId="18" borderId="45" xfId="0" applyNumberFormat="1" applyFill="1" applyBorder="1" applyAlignment="1">
      <alignment horizontal="center"/>
    </xf>
    <xf numFmtId="166" fontId="0" fillId="18" borderId="41" xfId="0" applyNumberFormat="1" applyFill="1" applyBorder="1" applyAlignment="1">
      <alignment horizontal="center"/>
    </xf>
    <xf numFmtId="166" fontId="0" fillId="18" borderId="43" xfId="0" applyNumberFormat="1" applyFill="1" applyBorder="1" applyAlignment="1">
      <alignment horizontal="center"/>
    </xf>
    <xf numFmtId="166" fontId="0" fillId="9" borderId="46" xfId="0" applyNumberFormat="1" applyFill="1" applyBorder="1" applyAlignment="1">
      <alignment horizontal="center"/>
    </xf>
    <xf numFmtId="166" fontId="0" fillId="19" borderId="46" xfId="0" applyNumberFormat="1" applyFill="1" applyBorder="1" applyAlignment="1">
      <alignment horizontal="center"/>
    </xf>
    <xf numFmtId="2" fontId="0" fillId="5" borderId="41" xfId="0" applyNumberFormat="1" applyFill="1" applyBorder="1" applyAlignment="1">
      <alignment horizontal="center"/>
    </xf>
    <xf numFmtId="2" fontId="0" fillId="5" borderId="42" xfId="0" applyNumberFormat="1" applyFill="1" applyBorder="1" applyAlignment="1">
      <alignment horizontal="center"/>
    </xf>
    <xf numFmtId="2" fontId="0" fillId="5" borderId="45" xfId="0" applyNumberFormat="1" applyFill="1" applyBorder="1" applyAlignment="1">
      <alignment horizontal="center"/>
    </xf>
    <xf numFmtId="2" fontId="0" fillId="5" borderId="43" xfId="0" applyNumberFormat="1" applyFill="1" applyBorder="1" applyAlignment="1">
      <alignment horizontal="center"/>
    </xf>
    <xf numFmtId="2" fontId="0" fillId="5" borderId="46" xfId="0" applyNumberFormat="1" applyFill="1" applyBorder="1" applyAlignment="1">
      <alignment horizontal="center"/>
    </xf>
    <xf numFmtId="166" fontId="20" fillId="20" borderId="51" xfId="0" applyNumberFormat="1" applyFont="1" applyFill="1" applyBorder="1" applyAlignment="1">
      <alignment horizontal="center" vertical="center"/>
    </xf>
    <xf numFmtId="166" fontId="20" fillId="20" borderId="49" xfId="0" applyNumberFormat="1" applyFont="1" applyFill="1" applyBorder="1" applyAlignment="1">
      <alignment horizontal="center" vertical="center"/>
    </xf>
    <xf numFmtId="166" fontId="20" fillId="20" borderId="42" xfId="0" applyNumberFormat="1" applyFont="1" applyFill="1" applyBorder="1" applyAlignment="1">
      <alignment horizontal="center" vertical="center"/>
    </xf>
    <xf numFmtId="166" fontId="20" fillId="20" borderId="46" xfId="0" applyNumberFormat="1" applyFont="1" applyFill="1" applyBorder="1" applyAlignment="1">
      <alignment horizontal="center" vertical="center"/>
    </xf>
    <xf numFmtId="166" fontId="15" fillId="10" borderId="41" xfId="0" applyNumberFormat="1" applyFont="1" applyFill="1" applyBorder="1" applyAlignment="1">
      <alignment horizontal="center"/>
    </xf>
    <xf numFmtId="166" fontId="15" fillId="10" borderId="42" xfId="0" applyNumberFormat="1" applyFont="1" applyFill="1" applyBorder="1" applyAlignment="1">
      <alignment horizontal="center"/>
    </xf>
    <xf numFmtId="166" fontId="15" fillId="10" borderId="43" xfId="0" applyNumberFormat="1" applyFont="1" applyFill="1" applyBorder="1" applyAlignment="1">
      <alignment horizontal="center"/>
    </xf>
    <xf numFmtId="166" fontId="20" fillId="21" borderId="36" xfId="0" applyNumberFormat="1" applyFont="1" applyFill="1" applyBorder="1" applyAlignment="1">
      <alignment horizontal="center" vertical="center"/>
    </xf>
    <xf numFmtId="166" fontId="20" fillId="21" borderId="50" xfId="0" applyNumberFormat="1" applyFont="1" applyFill="1" applyBorder="1" applyAlignment="1">
      <alignment horizontal="center" vertical="center"/>
    </xf>
    <xf numFmtId="166" fontId="20" fillId="21" borderId="51" xfId="0" applyNumberFormat="1" applyFont="1" applyFill="1" applyBorder="1" applyAlignment="1">
      <alignment horizontal="center" vertical="center"/>
    </xf>
    <xf numFmtId="166" fontId="21" fillId="22" borderId="58" xfId="0" applyNumberFormat="1" applyFont="1" applyFill="1" applyBorder="1" applyAlignment="1">
      <alignment horizontal="center" vertical="center"/>
    </xf>
    <xf numFmtId="166" fontId="21" fillId="22" borderId="34" xfId="0" applyNumberFormat="1" applyFont="1" applyFill="1" applyBorder="1" applyAlignment="1">
      <alignment horizontal="center" vertical="center"/>
    </xf>
    <xf numFmtId="166" fontId="18" fillId="0" borderId="41" xfId="0" applyNumberFormat="1" applyFont="1" applyBorder="1" applyAlignment="1">
      <alignment horizontal="center"/>
    </xf>
    <xf numFmtId="166" fontId="18" fillId="0" borderId="42" xfId="0" applyNumberFormat="1" applyFont="1" applyBorder="1" applyAlignment="1">
      <alignment horizontal="center"/>
    </xf>
    <xf numFmtId="166" fontId="18" fillId="0" borderId="43" xfId="0" applyNumberFormat="1" applyFont="1" applyBorder="1" applyAlignment="1">
      <alignment horizontal="center"/>
    </xf>
    <xf numFmtId="166" fontId="0" fillId="5" borderId="33" xfId="0" applyNumberFormat="1" applyFill="1" applyBorder="1" applyAlignment="1">
      <alignment horizontal="center"/>
    </xf>
    <xf numFmtId="166" fontId="0" fillId="5" borderId="37" xfId="0" applyNumberFormat="1" applyFill="1" applyBorder="1" applyAlignment="1">
      <alignment horizontal="center"/>
    </xf>
    <xf numFmtId="166" fontId="0" fillId="5" borderId="38" xfId="0" applyNumberFormat="1" applyFill="1" applyBorder="1" applyAlignment="1">
      <alignment horizontal="center"/>
    </xf>
    <xf numFmtId="166" fontId="0" fillId="18" borderId="46" xfId="0" applyNumberForma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66" fontId="3" fillId="23" borderId="42" xfId="0" applyNumberFormat="1" applyFont="1" applyFill="1" applyBorder="1" applyAlignment="1">
      <alignment horizontal="center"/>
    </xf>
    <xf numFmtId="166" fontId="0" fillId="5" borderId="44" xfId="0" applyNumberFormat="1" applyFill="1" applyBorder="1" applyAlignment="1">
      <alignment horizontal="center"/>
    </xf>
    <xf numFmtId="0" fontId="19" fillId="0" borderId="45" xfId="0" applyFont="1" applyBorder="1" applyAlignment="1">
      <alignment horizontal="center" vertical="center"/>
    </xf>
    <xf numFmtId="166" fontId="3" fillId="8" borderId="42" xfId="0" applyNumberFormat="1" applyFont="1" applyFill="1" applyBorder="1" applyAlignment="1">
      <alignment horizontal="center"/>
    </xf>
    <xf numFmtId="0" fontId="19" fillId="17" borderId="45" xfId="0" applyFont="1" applyFill="1" applyBorder="1" applyAlignment="1">
      <alignment horizontal="center" vertical="center"/>
    </xf>
    <xf numFmtId="2" fontId="0" fillId="5" borderId="52" xfId="0" applyNumberFormat="1" applyFill="1" applyBorder="1" applyAlignment="1">
      <alignment horizontal="center"/>
    </xf>
    <xf numFmtId="0" fontId="19" fillId="17" borderId="41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2" fontId="0" fillId="5" borderId="49" xfId="0" applyNumberFormat="1" applyFill="1" applyBorder="1" applyAlignment="1">
      <alignment horizontal="center"/>
    </xf>
    <xf numFmtId="166" fontId="20" fillId="21" borderId="49" xfId="0" applyNumberFormat="1" applyFont="1" applyFill="1" applyBorder="1" applyAlignment="1">
      <alignment horizontal="center" vertical="center"/>
    </xf>
    <xf numFmtId="166" fontId="21" fillId="22" borderId="60" xfId="0" applyNumberFormat="1" applyFont="1" applyFill="1" applyBorder="1" applyAlignment="1">
      <alignment horizontal="center" vertical="center"/>
    </xf>
    <xf numFmtId="166" fontId="3" fillId="23" borderId="46" xfId="0" applyNumberFormat="1" applyFont="1" applyFill="1" applyBorder="1" applyAlignment="1">
      <alignment horizontal="center"/>
    </xf>
    <xf numFmtId="0" fontId="0" fillId="8" borderId="0" xfId="0" applyFill="1"/>
    <xf numFmtId="166" fontId="0" fillId="16" borderId="49" xfId="0" applyNumberFormat="1" applyFill="1" applyBorder="1" applyAlignment="1">
      <alignment horizontal="center"/>
    </xf>
    <xf numFmtId="166" fontId="0" fillId="16" borderId="50" xfId="0" applyNumberFormat="1" applyFill="1" applyBorder="1" applyAlignment="1">
      <alignment horizontal="center"/>
    </xf>
    <xf numFmtId="166" fontId="0" fillId="16" borderId="51" xfId="0" applyNumberFormat="1" applyFill="1" applyBorder="1" applyAlignment="1">
      <alignment horizontal="center"/>
    </xf>
    <xf numFmtId="0" fontId="14" fillId="14" borderId="29" xfId="0" applyFont="1" applyFill="1" applyBorder="1" applyAlignment="1">
      <alignment horizontal="center"/>
    </xf>
    <xf numFmtId="0" fontId="14" fillId="14" borderId="59" xfId="0" applyFont="1" applyFill="1" applyBorder="1" applyAlignment="1">
      <alignment horizontal="center"/>
    </xf>
    <xf numFmtId="0" fontId="14" fillId="15" borderId="59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5" borderId="29" xfId="0" applyFont="1" applyFill="1" applyBorder="1" applyAlignment="1">
      <alignment horizontal="center"/>
    </xf>
    <xf numFmtId="0" fontId="14" fillId="15" borderId="62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166" fontId="20" fillId="20" borderId="17" xfId="0" applyNumberFormat="1" applyFont="1" applyFill="1" applyBorder="1" applyAlignment="1">
      <alignment horizontal="center" vertical="center"/>
    </xf>
    <xf numFmtId="166" fontId="20" fillId="21" borderId="35" xfId="0" applyNumberFormat="1" applyFont="1" applyFill="1" applyBorder="1" applyAlignment="1">
      <alignment horizontal="center" vertical="center"/>
    </xf>
    <xf numFmtId="166" fontId="21" fillId="22" borderId="19" xfId="0" applyNumberFormat="1" applyFont="1" applyFill="1" applyBorder="1" applyAlignment="1">
      <alignment horizontal="center" vertical="center"/>
    </xf>
    <xf numFmtId="166" fontId="0" fillId="16" borderId="52" xfId="0" applyNumberFormat="1" applyFill="1" applyBorder="1" applyAlignment="1">
      <alignment horizontal="center"/>
    </xf>
    <xf numFmtId="166" fontId="18" fillId="0" borderId="45" xfId="0" applyNumberFormat="1" applyFont="1" applyBorder="1" applyAlignment="1">
      <alignment horizontal="center"/>
    </xf>
    <xf numFmtId="166" fontId="15" fillId="10" borderId="45" xfId="0" applyNumberFormat="1" applyFont="1" applyFill="1" applyBorder="1" applyAlignment="1">
      <alignment horizontal="center"/>
    </xf>
    <xf numFmtId="166" fontId="17" fillId="16" borderId="43" xfId="0" applyNumberFormat="1" applyFont="1" applyFill="1" applyBorder="1" applyAlignment="1">
      <alignment horizontal="center"/>
    </xf>
    <xf numFmtId="166" fontId="17" fillId="16" borderId="17" xfId="0" applyNumberFormat="1" applyFont="1" applyFill="1" applyBorder="1" applyAlignment="1">
      <alignment horizontal="center"/>
    </xf>
    <xf numFmtId="2" fontId="3" fillId="9" borderId="42" xfId="0" applyNumberFormat="1" applyFont="1" applyFill="1" applyBorder="1" applyAlignment="1">
      <alignment horizontal="center"/>
    </xf>
    <xf numFmtId="2" fontId="0" fillId="5" borderId="56" xfId="0" applyNumberFormat="1" applyFill="1" applyBorder="1" applyAlignment="1">
      <alignment horizontal="center"/>
    </xf>
    <xf numFmtId="2" fontId="0" fillId="5" borderId="53" xfId="0" applyNumberFormat="1" applyFill="1" applyBorder="1" applyAlignment="1">
      <alignment horizontal="center"/>
    </xf>
    <xf numFmtId="166" fontId="3" fillId="9" borderId="56" xfId="0" applyNumberFormat="1" applyFont="1" applyFill="1" applyBorder="1" applyAlignment="1">
      <alignment horizontal="center"/>
    </xf>
    <xf numFmtId="2" fontId="0" fillId="5" borderId="54" xfId="0" applyNumberFormat="1" applyFill="1" applyBorder="1" applyAlignment="1">
      <alignment horizontal="center"/>
    </xf>
    <xf numFmtId="166" fontId="20" fillId="20" borderId="57" xfId="0" applyNumberFormat="1" applyFont="1" applyFill="1" applyBorder="1" applyAlignment="1">
      <alignment horizontal="center" vertical="center"/>
    </xf>
    <xf numFmtId="2" fontId="0" fillId="5" borderId="55" xfId="0" applyNumberFormat="1" applyFill="1" applyBorder="1" applyAlignment="1">
      <alignment horizontal="center"/>
    </xf>
    <xf numFmtId="0" fontId="3" fillId="9" borderId="42" xfId="0" applyFont="1" applyFill="1" applyBorder="1"/>
    <xf numFmtId="164" fontId="13" fillId="12" borderId="20" xfId="0" applyNumberFormat="1" applyFont="1" applyFill="1" applyBorder="1" applyAlignment="1">
      <alignment horizontal="center"/>
    </xf>
    <xf numFmtId="164" fontId="13" fillId="12" borderId="30" xfId="0" applyNumberFormat="1" applyFont="1" applyFill="1" applyBorder="1" applyAlignment="1">
      <alignment horizontal="center"/>
    </xf>
    <xf numFmtId="164" fontId="13" fillId="12" borderId="31" xfId="0" applyNumberFormat="1" applyFont="1" applyFill="1" applyBorder="1" applyAlignment="1">
      <alignment horizontal="center"/>
    </xf>
    <xf numFmtId="164" fontId="13" fillId="12" borderId="22" xfId="0" applyNumberFormat="1" applyFont="1" applyFill="1" applyBorder="1" applyAlignment="1">
      <alignment horizontal="center"/>
    </xf>
    <xf numFmtId="164" fontId="13" fillId="12" borderId="32" xfId="0" applyNumberFormat="1" applyFont="1" applyFill="1" applyBorder="1" applyAlignment="1">
      <alignment horizontal="center"/>
    </xf>
    <xf numFmtId="164" fontId="13" fillId="12" borderId="61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7" fontId="7" fillId="3" borderId="5" xfId="0" applyNumberFormat="1" applyFont="1" applyFill="1" applyBorder="1" applyAlignment="1">
      <alignment horizontal="center" vertical="center" wrapText="1"/>
    </xf>
    <xf numFmtId="17" fontId="7" fillId="3" borderId="7" xfId="0" applyNumberFormat="1" applyFont="1" applyFill="1" applyBorder="1" applyAlignment="1">
      <alignment horizontal="center" vertical="center" wrapText="1"/>
    </xf>
    <xf numFmtId="0" fontId="0" fillId="0" borderId="0" xfId="0"/>
    <xf numFmtId="17" fontId="7" fillId="3" borderId="14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/>
    </xf>
    <xf numFmtId="0" fontId="5" fillId="9" borderId="6" xfId="0" applyFont="1" applyFill="1" applyBorder="1" applyAlignment="1">
      <alignment horizontal="left" vertical="center"/>
    </xf>
    <xf numFmtId="17" fontId="11" fillId="11" borderId="5" xfId="0" applyNumberFormat="1" applyFont="1" applyFill="1" applyBorder="1" applyAlignment="1">
      <alignment horizontal="center" vertical="center" wrapText="1"/>
    </xf>
    <xf numFmtId="17" fontId="11" fillId="11" borderId="7" xfId="0" applyNumberFormat="1" applyFont="1" applyFill="1" applyBorder="1" applyAlignment="1">
      <alignment horizontal="center" vertical="center" wrapText="1"/>
    </xf>
    <xf numFmtId="17" fontId="11" fillId="11" borderId="14" xfId="0" applyNumberFormat="1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7" fontId="7" fillId="4" borderId="5" xfId="0" applyNumberFormat="1" applyFont="1" applyFill="1" applyBorder="1" applyAlignment="1">
      <alignment horizontal="center" vertical="center" wrapText="1"/>
    </xf>
    <xf numFmtId="17" fontId="7" fillId="4" borderId="7" xfId="0" applyNumberFormat="1" applyFont="1" applyFill="1" applyBorder="1" applyAlignment="1">
      <alignment horizontal="center" vertical="center" wrapText="1"/>
    </xf>
    <xf numFmtId="17" fontId="7" fillId="4" borderId="14" xfId="0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Millares 2" xfId="2" xr:uid="{EF8A0177-32CC-402A-BE4F-92FA9C0B8D46}"/>
    <cellStyle name="Normal" xfId="0" builtinId="0"/>
  </cellStyles>
  <dxfs count="0"/>
  <tableStyles count="0" defaultTableStyle="TableStyleMedium2" defaultPivotStyle="PivotStyleLight16"/>
  <colors>
    <mruColors>
      <color rgb="FFE959E2"/>
      <color rgb="FFFFCC66"/>
      <color rgb="FFFF9900"/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37B3-0B69-4B8A-BB6F-8AB49317961B}">
  <dimension ref="A1:CQ111"/>
  <sheetViews>
    <sheetView tabSelected="1" zoomScaleNormal="100" workbookViewId="0">
      <pane xSplit="3" ySplit="3" topLeftCell="D58" activePane="bottomRight" state="frozen"/>
      <selection pane="topRight" activeCell="BW11" sqref="Q11:BW65"/>
      <selection pane="bottomLeft" activeCell="BW11" sqref="Q11:BW65"/>
      <selection pane="bottomRight" activeCell="H72" sqref="H72"/>
    </sheetView>
  </sheetViews>
  <sheetFormatPr baseColWidth="10" defaultColWidth="11.36328125" defaultRowHeight="14.5" x14ac:dyDescent="0.35"/>
  <cols>
    <col min="1" max="1" width="28.36328125" bestFit="1" customWidth="1"/>
    <col min="2" max="2" width="23.90625" customWidth="1"/>
    <col min="3" max="3" width="13.08984375" customWidth="1"/>
    <col min="4" max="95" width="7.90625" customWidth="1"/>
  </cols>
  <sheetData>
    <row r="1" spans="1:95" ht="25.5" thickBot="1" x14ac:dyDescent="0.55000000000000004">
      <c r="A1" s="2">
        <v>1</v>
      </c>
      <c r="B1" s="2"/>
      <c r="C1" s="1"/>
      <c r="D1" s="202">
        <v>46296</v>
      </c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199">
        <v>46327</v>
      </c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1"/>
      <c r="BM1" s="202">
        <v>46357</v>
      </c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4"/>
    </row>
    <row r="2" spans="1:95" ht="15" thickBot="1" x14ac:dyDescent="0.4">
      <c r="A2" s="3" t="s">
        <v>1</v>
      </c>
      <c r="B2" s="3"/>
      <c r="C2" s="3" t="s">
        <v>2</v>
      </c>
      <c r="D2" s="175">
        <v>1</v>
      </c>
      <c r="E2" s="176">
        <v>2</v>
      </c>
      <c r="F2" s="177">
        <v>3</v>
      </c>
      <c r="G2" s="177">
        <v>4</v>
      </c>
      <c r="H2" s="176">
        <v>5</v>
      </c>
      <c r="I2" s="176">
        <v>6</v>
      </c>
      <c r="J2" s="176">
        <v>7</v>
      </c>
      <c r="K2" s="176">
        <v>8</v>
      </c>
      <c r="L2" s="176">
        <v>9</v>
      </c>
      <c r="M2" s="177">
        <v>10</v>
      </c>
      <c r="N2" s="177">
        <v>11</v>
      </c>
      <c r="O2" s="177">
        <v>12</v>
      </c>
      <c r="P2" s="176">
        <v>13</v>
      </c>
      <c r="Q2" s="176">
        <v>14</v>
      </c>
      <c r="R2" s="176">
        <v>15</v>
      </c>
      <c r="S2" s="176">
        <v>16</v>
      </c>
      <c r="T2" s="177">
        <v>17</v>
      </c>
      <c r="U2" s="177">
        <v>18</v>
      </c>
      <c r="V2" s="176">
        <v>19</v>
      </c>
      <c r="W2" s="176">
        <v>20</v>
      </c>
      <c r="X2" s="176">
        <v>21</v>
      </c>
      <c r="Y2" s="176">
        <v>22</v>
      </c>
      <c r="Z2" s="176">
        <v>23</v>
      </c>
      <c r="AA2" s="177">
        <v>24</v>
      </c>
      <c r="AB2" s="177">
        <v>25</v>
      </c>
      <c r="AC2" s="176">
        <v>26</v>
      </c>
      <c r="AD2" s="176">
        <v>27</v>
      </c>
      <c r="AE2" s="176">
        <v>28</v>
      </c>
      <c r="AF2" s="176">
        <v>29</v>
      </c>
      <c r="AG2" s="176">
        <v>30</v>
      </c>
      <c r="AH2" s="180">
        <v>31</v>
      </c>
      <c r="AI2" s="179">
        <v>1</v>
      </c>
      <c r="AJ2" s="176">
        <v>2</v>
      </c>
      <c r="AK2" s="176">
        <v>3</v>
      </c>
      <c r="AL2" s="176">
        <v>4</v>
      </c>
      <c r="AM2" s="176">
        <v>5</v>
      </c>
      <c r="AN2" s="176">
        <v>6</v>
      </c>
      <c r="AO2" s="179">
        <v>7</v>
      </c>
      <c r="AP2" s="179">
        <v>8</v>
      </c>
      <c r="AQ2" s="176">
        <v>9</v>
      </c>
      <c r="AR2" s="176">
        <v>10</v>
      </c>
      <c r="AS2" s="176">
        <v>11</v>
      </c>
      <c r="AT2" s="176">
        <v>12</v>
      </c>
      <c r="AU2" s="176">
        <v>13</v>
      </c>
      <c r="AV2" s="179">
        <v>14</v>
      </c>
      <c r="AW2" s="179">
        <v>15</v>
      </c>
      <c r="AX2" s="176">
        <v>16</v>
      </c>
      <c r="AY2" s="176">
        <v>17</v>
      </c>
      <c r="AZ2" s="176">
        <v>18</v>
      </c>
      <c r="BA2" s="176">
        <v>19</v>
      </c>
      <c r="BB2" s="176">
        <v>20</v>
      </c>
      <c r="BC2" s="179">
        <v>21</v>
      </c>
      <c r="BD2" s="179">
        <v>22</v>
      </c>
      <c r="BE2" s="177">
        <v>23</v>
      </c>
      <c r="BF2" s="176">
        <v>24</v>
      </c>
      <c r="BG2" s="176">
        <v>25</v>
      </c>
      <c r="BH2" s="176">
        <v>26</v>
      </c>
      <c r="BI2" s="176">
        <v>27</v>
      </c>
      <c r="BJ2" s="179">
        <v>28</v>
      </c>
      <c r="BK2" s="179">
        <v>29</v>
      </c>
      <c r="BL2" s="181">
        <v>30</v>
      </c>
      <c r="BM2" s="175">
        <v>1</v>
      </c>
      <c r="BN2" s="176">
        <v>2</v>
      </c>
      <c r="BO2" s="175">
        <v>3</v>
      </c>
      <c r="BP2" s="176">
        <v>4</v>
      </c>
      <c r="BQ2" s="179">
        <v>5</v>
      </c>
      <c r="BR2" s="177">
        <v>6</v>
      </c>
      <c r="BS2" s="179">
        <v>7</v>
      </c>
      <c r="BT2" s="177">
        <v>8</v>
      </c>
      <c r="BU2" s="175">
        <v>9</v>
      </c>
      <c r="BV2" s="176">
        <v>10</v>
      </c>
      <c r="BW2" s="175">
        <v>11</v>
      </c>
      <c r="BX2" s="179">
        <v>12</v>
      </c>
      <c r="BY2" s="177">
        <v>13</v>
      </c>
      <c r="BZ2" s="176">
        <v>14</v>
      </c>
      <c r="CA2" s="175">
        <v>15</v>
      </c>
      <c r="CB2" s="176">
        <v>16</v>
      </c>
      <c r="CC2" s="175">
        <v>17</v>
      </c>
      <c r="CD2" s="176">
        <v>18</v>
      </c>
      <c r="CE2" s="179">
        <v>19</v>
      </c>
      <c r="CF2" s="177">
        <v>20</v>
      </c>
      <c r="CG2" s="175">
        <v>21</v>
      </c>
      <c r="CH2" s="176">
        <v>22</v>
      </c>
      <c r="CI2" s="175">
        <v>23</v>
      </c>
      <c r="CJ2" s="176">
        <v>24</v>
      </c>
      <c r="CK2" s="175">
        <v>25</v>
      </c>
      <c r="CL2" s="179">
        <v>26</v>
      </c>
      <c r="CM2" s="177">
        <v>27</v>
      </c>
      <c r="CN2" s="176">
        <v>28</v>
      </c>
      <c r="CO2" s="175">
        <v>29</v>
      </c>
      <c r="CP2" s="176">
        <v>30</v>
      </c>
      <c r="CQ2" s="182">
        <v>31</v>
      </c>
    </row>
    <row r="3" spans="1:95" ht="15" thickBot="1" x14ac:dyDescent="0.4">
      <c r="A3" s="4"/>
      <c r="B3" s="4"/>
      <c r="C3" s="5"/>
      <c r="D3" s="175" t="s">
        <v>3</v>
      </c>
      <c r="E3" s="176" t="s">
        <v>4</v>
      </c>
      <c r="F3" s="177" t="s">
        <v>5</v>
      </c>
      <c r="G3" s="177" t="s">
        <v>6</v>
      </c>
      <c r="H3" s="176" t="s">
        <v>7</v>
      </c>
      <c r="I3" s="176" t="s">
        <v>8</v>
      </c>
      <c r="J3" s="176" t="s">
        <v>9</v>
      </c>
      <c r="K3" s="176" t="s">
        <v>3</v>
      </c>
      <c r="L3" s="176" t="s">
        <v>4</v>
      </c>
      <c r="M3" s="177" t="s">
        <v>5</v>
      </c>
      <c r="N3" s="177" t="s">
        <v>6</v>
      </c>
      <c r="O3" s="177" t="s">
        <v>7</v>
      </c>
      <c r="P3" s="176" t="s">
        <v>8</v>
      </c>
      <c r="Q3" s="176" t="s">
        <v>9</v>
      </c>
      <c r="R3" s="176" t="s">
        <v>3</v>
      </c>
      <c r="S3" s="176" t="s">
        <v>4</v>
      </c>
      <c r="T3" s="177" t="s">
        <v>5</v>
      </c>
      <c r="U3" s="177" t="s">
        <v>6</v>
      </c>
      <c r="V3" s="176" t="s">
        <v>7</v>
      </c>
      <c r="W3" s="176" t="s">
        <v>8</v>
      </c>
      <c r="X3" s="176" t="s">
        <v>9</v>
      </c>
      <c r="Y3" s="176" t="s">
        <v>3</v>
      </c>
      <c r="Z3" s="176" t="s">
        <v>4</v>
      </c>
      <c r="AA3" s="177" t="s">
        <v>5</v>
      </c>
      <c r="AB3" s="177" t="s">
        <v>6</v>
      </c>
      <c r="AC3" s="176" t="s">
        <v>7</v>
      </c>
      <c r="AD3" s="176" t="s">
        <v>8</v>
      </c>
      <c r="AE3" s="176" t="s">
        <v>9</v>
      </c>
      <c r="AF3" s="176" t="s">
        <v>3</v>
      </c>
      <c r="AG3" s="176" t="s">
        <v>4</v>
      </c>
      <c r="AH3" s="180" t="s">
        <v>5</v>
      </c>
      <c r="AI3" s="179" t="s">
        <v>6</v>
      </c>
      <c r="AJ3" s="175" t="s">
        <v>7</v>
      </c>
      <c r="AK3" s="175" t="s">
        <v>8</v>
      </c>
      <c r="AL3" s="175" t="s">
        <v>9</v>
      </c>
      <c r="AM3" s="175" t="s">
        <v>3</v>
      </c>
      <c r="AN3" s="175" t="s">
        <v>4</v>
      </c>
      <c r="AO3" s="179" t="s">
        <v>5</v>
      </c>
      <c r="AP3" s="179" t="s">
        <v>6</v>
      </c>
      <c r="AQ3" s="175" t="s">
        <v>7</v>
      </c>
      <c r="AR3" s="175" t="s">
        <v>8</v>
      </c>
      <c r="AS3" s="175" t="s">
        <v>9</v>
      </c>
      <c r="AT3" s="175" t="s">
        <v>3</v>
      </c>
      <c r="AU3" s="175" t="s">
        <v>4</v>
      </c>
      <c r="AV3" s="179" t="s">
        <v>5</v>
      </c>
      <c r="AW3" s="179" t="s">
        <v>6</v>
      </c>
      <c r="AX3" s="175" t="s">
        <v>7</v>
      </c>
      <c r="AY3" s="175" t="s">
        <v>8</v>
      </c>
      <c r="AZ3" s="175" t="s">
        <v>9</v>
      </c>
      <c r="BA3" s="175" t="s">
        <v>3</v>
      </c>
      <c r="BB3" s="175" t="s">
        <v>4</v>
      </c>
      <c r="BC3" s="179" t="s">
        <v>5</v>
      </c>
      <c r="BD3" s="179" t="s">
        <v>6</v>
      </c>
      <c r="BE3" s="179" t="s">
        <v>7</v>
      </c>
      <c r="BF3" s="175" t="s">
        <v>8</v>
      </c>
      <c r="BG3" s="175" t="s">
        <v>9</v>
      </c>
      <c r="BH3" s="175" t="s">
        <v>3</v>
      </c>
      <c r="BI3" s="175" t="s">
        <v>4</v>
      </c>
      <c r="BJ3" s="179" t="s">
        <v>5</v>
      </c>
      <c r="BK3" s="179" t="s">
        <v>6</v>
      </c>
      <c r="BL3" s="182" t="s">
        <v>7</v>
      </c>
      <c r="BM3" s="175" t="s">
        <v>8</v>
      </c>
      <c r="BN3" s="176" t="s">
        <v>9</v>
      </c>
      <c r="BO3" s="175" t="s">
        <v>3</v>
      </c>
      <c r="BP3" s="176" t="s">
        <v>4</v>
      </c>
      <c r="BQ3" s="179" t="s">
        <v>5</v>
      </c>
      <c r="BR3" s="177" t="s">
        <v>6</v>
      </c>
      <c r="BS3" s="179" t="s">
        <v>7</v>
      </c>
      <c r="BT3" s="177" t="s">
        <v>8</v>
      </c>
      <c r="BU3" s="175" t="s">
        <v>9</v>
      </c>
      <c r="BV3" s="176" t="s">
        <v>3</v>
      </c>
      <c r="BW3" s="175" t="s">
        <v>4</v>
      </c>
      <c r="BX3" s="179" t="s">
        <v>5</v>
      </c>
      <c r="BY3" s="177" t="s">
        <v>6</v>
      </c>
      <c r="BZ3" s="176" t="s">
        <v>7</v>
      </c>
      <c r="CA3" s="175" t="s">
        <v>8</v>
      </c>
      <c r="CB3" s="176" t="s">
        <v>9</v>
      </c>
      <c r="CC3" s="175" t="s">
        <v>3</v>
      </c>
      <c r="CD3" s="176" t="s">
        <v>4</v>
      </c>
      <c r="CE3" s="179" t="s">
        <v>5</v>
      </c>
      <c r="CF3" s="177" t="s">
        <v>6</v>
      </c>
      <c r="CG3" s="175" t="s">
        <v>7</v>
      </c>
      <c r="CH3" s="176" t="s">
        <v>8</v>
      </c>
      <c r="CI3" s="175" t="s">
        <v>9</v>
      </c>
      <c r="CJ3" s="176" t="s">
        <v>3</v>
      </c>
      <c r="CK3" s="175" t="s">
        <v>4</v>
      </c>
      <c r="CL3" s="179" t="s">
        <v>5</v>
      </c>
      <c r="CM3" s="177" t="s">
        <v>6</v>
      </c>
      <c r="CN3" s="176" t="s">
        <v>7</v>
      </c>
      <c r="CO3" s="175" t="s">
        <v>8</v>
      </c>
      <c r="CP3" s="176" t="s">
        <v>9</v>
      </c>
      <c r="CQ3" s="182" t="s">
        <v>3</v>
      </c>
    </row>
    <row r="4" spans="1:95" x14ac:dyDescent="0.35">
      <c r="A4" s="205" t="s">
        <v>10</v>
      </c>
      <c r="B4" s="6" t="s">
        <v>11</v>
      </c>
      <c r="C4" s="207" t="s">
        <v>12</v>
      </c>
      <c r="D4" s="172">
        <f t="shared" ref="D4:V4" si="0">33+D5</f>
        <v>33</v>
      </c>
      <c r="E4" s="173">
        <f t="shared" si="0"/>
        <v>33</v>
      </c>
      <c r="F4" s="173">
        <f t="shared" si="0"/>
        <v>33</v>
      </c>
      <c r="G4" s="173">
        <f t="shared" si="0"/>
        <v>33</v>
      </c>
      <c r="H4" s="173">
        <f t="shared" si="0"/>
        <v>33</v>
      </c>
      <c r="I4" s="173">
        <f t="shared" si="0"/>
        <v>33</v>
      </c>
      <c r="J4" s="173">
        <f t="shared" si="0"/>
        <v>33</v>
      </c>
      <c r="K4" s="173">
        <f t="shared" si="0"/>
        <v>33</v>
      </c>
      <c r="L4" s="173">
        <f t="shared" si="0"/>
        <v>33</v>
      </c>
      <c r="M4" s="173">
        <f t="shared" si="0"/>
        <v>33</v>
      </c>
      <c r="N4" s="173">
        <f t="shared" si="0"/>
        <v>33</v>
      </c>
      <c r="O4" s="173">
        <f t="shared" si="0"/>
        <v>33</v>
      </c>
      <c r="P4" s="173">
        <f t="shared" si="0"/>
        <v>33</v>
      </c>
      <c r="Q4" s="173">
        <f t="shared" si="0"/>
        <v>33</v>
      </c>
      <c r="R4" s="173">
        <f t="shared" si="0"/>
        <v>33</v>
      </c>
      <c r="S4" s="173">
        <f t="shared" si="0"/>
        <v>33</v>
      </c>
      <c r="T4" s="173">
        <f t="shared" si="0"/>
        <v>33</v>
      </c>
      <c r="U4" s="173">
        <f t="shared" si="0"/>
        <v>33</v>
      </c>
      <c r="V4" s="173">
        <f t="shared" si="0"/>
        <v>33</v>
      </c>
      <c r="W4" s="173">
        <f t="shared" ref="W4:CH4" si="1">33+W5</f>
        <v>33</v>
      </c>
      <c r="X4" s="173">
        <f t="shared" si="1"/>
        <v>33</v>
      </c>
      <c r="Y4" s="173">
        <f t="shared" si="1"/>
        <v>33</v>
      </c>
      <c r="Z4" s="173">
        <f t="shared" si="1"/>
        <v>33</v>
      </c>
      <c r="AA4" s="173">
        <f t="shared" si="1"/>
        <v>33</v>
      </c>
      <c r="AB4" s="173">
        <f t="shared" si="1"/>
        <v>33</v>
      </c>
      <c r="AC4" s="173">
        <f t="shared" si="1"/>
        <v>33</v>
      </c>
      <c r="AD4" s="173">
        <f t="shared" si="1"/>
        <v>33</v>
      </c>
      <c r="AE4" s="173">
        <f t="shared" si="1"/>
        <v>33</v>
      </c>
      <c r="AF4" s="173">
        <f t="shared" si="1"/>
        <v>33</v>
      </c>
      <c r="AG4" s="173">
        <f t="shared" si="1"/>
        <v>33</v>
      </c>
      <c r="AH4" s="186">
        <f t="shared" si="1"/>
        <v>33</v>
      </c>
      <c r="AI4" s="172">
        <f t="shared" si="1"/>
        <v>33</v>
      </c>
      <c r="AJ4" s="173">
        <f t="shared" si="1"/>
        <v>33</v>
      </c>
      <c r="AK4" s="173">
        <f t="shared" si="1"/>
        <v>33</v>
      </c>
      <c r="AL4" s="173">
        <f t="shared" si="1"/>
        <v>33</v>
      </c>
      <c r="AM4" s="173">
        <f t="shared" si="1"/>
        <v>33</v>
      </c>
      <c r="AN4" s="173">
        <f t="shared" si="1"/>
        <v>33</v>
      </c>
      <c r="AO4" s="173">
        <f t="shared" si="1"/>
        <v>33</v>
      </c>
      <c r="AP4" s="173">
        <f t="shared" si="1"/>
        <v>33</v>
      </c>
      <c r="AQ4" s="173">
        <f t="shared" si="1"/>
        <v>33</v>
      </c>
      <c r="AR4" s="173">
        <f t="shared" si="1"/>
        <v>33</v>
      </c>
      <c r="AS4" s="173">
        <f t="shared" si="1"/>
        <v>33</v>
      </c>
      <c r="AT4" s="173">
        <f t="shared" si="1"/>
        <v>33</v>
      </c>
      <c r="AU4" s="173">
        <f t="shared" si="1"/>
        <v>33</v>
      </c>
      <c r="AV4" s="173">
        <f t="shared" si="1"/>
        <v>33</v>
      </c>
      <c r="AW4" s="173">
        <f t="shared" si="1"/>
        <v>33</v>
      </c>
      <c r="AX4" s="173">
        <f t="shared" si="1"/>
        <v>33</v>
      </c>
      <c r="AY4" s="173">
        <f t="shared" si="1"/>
        <v>33</v>
      </c>
      <c r="AZ4" s="173">
        <f t="shared" si="1"/>
        <v>33</v>
      </c>
      <c r="BA4" s="173">
        <f t="shared" si="1"/>
        <v>33</v>
      </c>
      <c r="BB4" s="173">
        <f t="shared" si="1"/>
        <v>33</v>
      </c>
      <c r="BC4" s="173">
        <f t="shared" si="1"/>
        <v>33</v>
      </c>
      <c r="BD4" s="173">
        <f t="shared" si="1"/>
        <v>33</v>
      </c>
      <c r="BE4" s="173">
        <f t="shared" si="1"/>
        <v>33</v>
      </c>
      <c r="BF4" s="173">
        <f t="shared" si="1"/>
        <v>33</v>
      </c>
      <c r="BG4" s="173">
        <f t="shared" si="1"/>
        <v>33</v>
      </c>
      <c r="BH4" s="173">
        <f t="shared" si="1"/>
        <v>33</v>
      </c>
      <c r="BI4" s="173">
        <f t="shared" si="1"/>
        <v>33</v>
      </c>
      <c r="BJ4" s="173">
        <f t="shared" si="1"/>
        <v>33</v>
      </c>
      <c r="BK4" s="173">
        <f t="shared" si="1"/>
        <v>33</v>
      </c>
      <c r="BL4" s="174">
        <f t="shared" si="1"/>
        <v>33</v>
      </c>
      <c r="BM4" s="172">
        <f t="shared" si="1"/>
        <v>33</v>
      </c>
      <c r="BN4" s="173">
        <f t="shared" si="1"/>
        <v>33</v>
      </c>
      <c r="BO4" s="173">
        <f t="shared" si="1"/>
        <v>33</v>
      </c>
      <c r="BP4" s="173">
        <f t="shared" si="1"/>
        <v>33</v>
      </c>
      <c r="BQ4" s="173">
        <f t="shared" si="1"/>
        <v>33</v>
      </c>
      <c r="BR4" s="173">
        <f t="shared" si="1"/>
        <v>33</v>
      </c>
      <c r="BS4" s="173">
        <f t="shared" si="1"/>
        <v>33</v>
      </c>
      <c r="BT4" s="173">
        <f t="shared" si="1"/>
        <v>33</v>
      </c>
      <c r="BU4" s="173">
        <f t="shared" si="1"/>
        <v>33</v>
      </c>
      <c r="BV4" s="173">
        <f t="shared" si="1"/>
        <v>33</v>
      </c>
      <c r="BW4" s="173">
        <f t="shared" si="1"/>
        <v>33</v>
      </c>
      <c r="BX4" s="173">
        <f t="shared" si="1"/>
        <v>33</v>
      </c>
      <c r="BY4" s="173">
        <f t="shared" si="1"/>
        <v>33</v>
      </c>
      <c r="BZ4" s="173">
        <f t="shared" si="1"/>
        <v>33</v>
      </c>
      <c r="CA4" s="173">
        <f t="shared" si="1"/>
        <v>33</v>
      </c>
      <c r="CB4" s="173">
        <f t="shared" si="1"/>
        <v>33</v>
      </c>
      <c r="CC4" s="173">
        <f t="shared" si="1"/>
        <v>33</v>
      </c>
      <c r="CD4" s="173">
        <f t="shared" si="1"/>
        <v>33</v>
      </c>
      <c r="CE4" s="173">
        <f t="shared" si="1"/>
        <v>33</v>
      </c>
      <c r="CF4" s="173">
        <f t="shared" si="1"/>
        <v>33</v>
      </c>
      <c r="CG4" s="173">
        <f t="shared" si="1"/>
        <v>33</v>
      </c>
      <c r="CH4" s="173">
        <f t="shared" si="1"/>
        <v>33</v>
      </c>
      <c r="CI4" s="173">
        <f t="shared" ref="CI4:CQ4" si="2">33+CI5</f>
        <v>33</v>
      </c>
      <c r="CJ4" s="173">
        <f t="shared" si="2"/>
        <v>33</v>
      </c>
      <c r="CK4" s="173">
        <f t="shared" si="2"/>
        <v>33</v>
      </c>
      <c r="CL4" s="173">
        <f t="shared" si="2"/>
        <v>33</v>
      </c>
      <c r="CM4" s="173">
        <f t="shared" si="2"/>
        <v>33</v>
      </c>
      <c r="CN4" s="173">
        <f t="shared" si="2"/>
        <v>33</v>
      </c>
      <c r="CO4" s="173">
        <f t="shared" si="2"/>
        <v>33</v>
      </c>
      <c r="CP4" s="173">
        <f t="shared" si="2"/>
        <v>33</v>
      </c>
      <c r="CQ4" s="174">
        <f t="shared" si="2"/>
        <v>33</v>
      </c>
    </row>
    <row r="5" spans="1:95" x14ac:dyDescent="0.35">
      <c r="A5" s="206"/>
      <c r="B5" s="6" t="s">
        <v>13</v>
      </c>
      <c r="C5" s="208"/>
      <c r="D5" s="48"/>
      <c r="E5" s="49"/>
      <c r="F5" s="49"/>
      <c r="G5" s="49"/>
      <c r="H5" s="162"/>
      <c r="I5" s="162"/>
      <c r="J5" s="56"/>
      <c r="K5" s="162"/>
      <c r="L5" s="56"/>
      <c r="M5" s="56"/>
      <c r="N5" s="56"/>
      <c r="O5" s="162"/>
      <c r="P5" s="162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51"/>
      <c r="AI5" s="48"/>
      <c r="AJ5" s="49"/>
      <c r="AK5" s="49"/>
      <c r="AL5" s="49"/>
      <c r="AM5" s="162"/>
      <c r="AN5" s="162"/>
      <c r="AO5" s="56"/>
      <c r="AP5" s="162"/>
      <c r="AQ5" s="56"/>
      <c r="AR5" s="56"/>
      <c r="AS5" s="56"/>
      <c r="AT5" s="162"/>
      <c r="AU5" s="162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50"/>
      <c r="BM5" s="48"/>
      <c r="BN5" s="49"/>
      <c r="BO5" s="49"/>
      <c r="BP5" s="49"/>
      <c r="BQ5" s="162"/>
      <c r="BR5" s="162"/>
      <c r="BS5" s="56"/>
      <c r="BT5" s="162"/>
      <c r="BU5" s="56"/>
      <c r="BV5" s="56"/>
      <c r="BW5" s="56"/>
      <c r="BX5" s="162"/>
      <c r="BY5" s="162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50"/>
    </row>
    <row r="6" spans="1:95" hidden="1" x14ac:dyDescent="0.35">
      <c r="C6" s="209"/>
      <c r="H6" s="171"/>
      <c r="I6" s="171"/>
      <c r="J6" s="171"/>
      <c r="K6" s="171"/>
      <c r="L6" s="171"/>
      <c r="M6" s="171"/>
      <c r="N6" s="171"/>
      <c r="O6" s="171"/>
      <c r="P6" s="171"/>
      <c r="AI6" s="157"/>
      <c r="AM6" s="171"/>
      <c r="AN6" s="171"/>
      <c r="AO6" s="171"/>
      <c r="AP6" s="171"/>
      <c r="AQ6" s="171"/>
      <c r="AR6" s="171"/>
      <c r="AS6" s="171"/>
      <c r="AT6" s="171"/>
      <c r="AU6" s="171"/>
      <c r="BL6" s="158"/>
      <c r="BM6" s="157"/>
      <c r="BQ6" s="171"/>
      <c r="BR6" s="171"/>
      <c r="BS6" s="171"/>
      <c r="BT6" s="171"/>
      <c r="BU6" s="171"/>
      <c r="BV6" s="171"/>
      <c r="BW6" s="171"/>
      <c r="BX6" s="171"/>
      <c r="BY6" s="171"/>
      <c r="CQ6" s="158"/>
    </row>
    <row r="7" spans="1:95" hidden="1" x14ac:dyDescent="0.35">
      <c r="C7" s="209"/>
      <c r="H7" s="171"/>
      <c r="I7" s="171"/>
      <c r="J7" s="171"/>
      <c r="K7" s="171"/>
      <c r="L7" s="171"/>
      <c r="M7" s="171"/>
      <c r="N7" s="171"/>
      <c r="O7" s="171"/>
      <c r="P7" s="171"/>
      <c r="AI7" s="157"/>
      <c r="AM7" s="171"/>
      <c r="AN7" s="171"/>
      <c r="AO7" s="171"/>
      <c r="AP7" s="171"/>
      <c r="AQ7" s="171"/>
      <c r="AR7" s="171"/>
      <c r="AS7" s="171"/>
      <c r="AT7" s="171"/>
      <c r="AU7" s="171"/>
      <c r="BL7" s="158"/>
      <c r="BM7" s="157"/>
      <c r="BQ7" s="171"/>
      <c r="BR7" s="171"/>
      <c r="BS7" s="171"/>
      <c r="BT7" s="171"/>
      <c r="BU7" s="171"/>
      <c r="BV7" s="171"/>
      <c r="BW7" s="171"/>
      <c r="BX7" s="171"/>
      <c r="BY7" s="171"/>
      <c r="CQ7" s="158"/>
    </row>
    <row r="8" spans="1:95" x14ac:dyDescent="0.35">
      <c r="A8" s="211" t="s">
        <v>14</v>
      </c>
      <c r="B8" s="6" t="s">
        <v>11</v>
      </c>
      <c r="C8" s="208"/>
      <c r="D8" s="48"/>
      <c r="E8" s="49"/>
      <c r="F8" s="49"/>
      <c r="G8" s="49"/>
      <c r="H8" s="56"/>
      <c r="I8" s="56"/>
      <c r="J8" s="56"/>
      <c r="K8" s="56"/>
      <c r="L8" s="56"/>
      <c r="M8" s="56"/>
      <c r="N8" s="56"/>
      <c r="O8" s="56"/>
      <c r="P8" s="56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51"/>
      <c r="AI8" s="48"/>
      <c r="AJ8" s="49"/>
      <c r="AK8" s="49"/>
      <c r="AL8" s="49"/>
      <c r="AM8" s="56"/>
      <c r="AN8" s="56"/>
      <c r="AO8" s="56"/>
      <c r="AP8" s="56"/>
      <c r="AQ8" s="56"/>
      <c r="AR8" s="56"/>
      <c r="AS8" s="56"/>
      <c r="AT8" s="56"/>
      <c r="AU8" s="56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50"/>
      <c r="BM8" s="48"/>
      <c r="BN8" s="49"/>
      <c r="BO8" s="49"/>
      <c r="BP8" s="49"/>
      <c r="BQ8" s="56"/>
      <c r="BR8" s="56"/>
      <c r="BS8" s="56"/>
      <c r="BT8" s="56"/>
      <c r="BU8" s="56"/>
      <c r="BV8" s="56"/>
      <c r="BW8" s="56"/>
      <c r="BX8" s="56"/>
      <c r="BY8" s="56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50"/>
    </row>
    <row r="9" spans="1:95" x14ac:dyDescent="0.35">
      <c r="A9" s="212"/>
      <c r="B9" s="6" t="s">
        <v>13</v>
      </c>
      <c r="C9" s="208"/>
      <c r="D9" s="48"/>
      <c r="E9" s="49"/>
      <c r="F9" s="49"/>
      <c r="G9" s="49"/>
      <c r="H9" s="56"/>
      <c r="I9" s="56"/>
      <c r="J9" s="56"/>
      <c r="K9" s="56"/>
      <c r="L9" s="56"/>
      <c r="M9" s="56"/>
      <c r="N9" s="56"/>
      <c r="O9" s="56"/>
      <c r="P9" s="56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51"/>
      <c r="AI9" s="48"/>
      <c r="AJ9" s="49"/>
      <c r="AK9" s="49"/>
      <c r="AL9" s="49"/>
      <c r="AM9" s="56"/>
      <c r="AN9" s="56"/>
      <c r="AO9" s="56"/>
      <c r="AP9" s="56"/>
      <c r="AQ9" s="56"/>
      <c r="AR9" s="56"/>
      <c r="AS9" s="56"/>
      <c r="AT9" s="56"/>
      <c r="AU9" s="56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50"/>
      <c r="BM9" s="48"/>
      <c r="BN9" s="49"/>
      <c r="BO9" s="49"/>
      <c r="BP9" s="49"/>
      <c r="BQ9" s="56"/>
      <c r="BR9" s="56"/>
      <c r="BS9" s="56"/>
      <c r="BT9" s="56"/>
      <c r="BU9" s="56"/>
      <c r="BV9" s="56"/>
      <c r="BW9" s="56"/>
      <c r="BX9" s="56"/>
      <c r="BY9" s="56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50"/>
    </row>
    <row r="10" spans="1:95" hidden="1" x14ac:dyDescent="0.35">
      <c r="A10" s="205" t="s">
        <v>15</v>
      </c>
      <c r="B10" s="6" t="s">
        <v>16</v>
      </c>
      <c r="C10" s="208"/>
      <c r="D10" s="48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1"/>
      <c r="AI10" s="48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50"/>
      <c r="BM10" s="48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50"/>
    </row>
    <row r="11" spans="1:95" hidden="1" x14ac:dyDescent="0.35">
      <c r="A11" s="206"/>
      <c r="B11" s="6" t="s">
        <v>17</v>
      </c>
      <c r="C11" s="208"/>
      <c r="D11" s="48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51"/>
      <c r="AI11" s="48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50"/>
      <c r="BM11" s="48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50"/>
    </row>
    <row r="12" spans="1:95" x14ac:dyDescent="0.35">
      <c r="A12" s="205" t="s">
        <v>18</v>
      </c>
      <c r="B12" s="6" t="s">
        <v>16</v>
      </c>
      <c r="C12" s="208"/>
      <c r="D12" s="52">
        <f t="shared" ref="D12:V12" si="3">22.81+D13</f>
        <v>22.81</v>
      </c>
      <c r="E12" s="53">
        <f t="shared" si="3"/>
        <v>22.81</v>
      </c>
      <c r="F12" s="53">
        <f t="shared" si="3"/>
        <v>22.81</v>
      </c>
      <c r="G12" s="53">
        <f t="shared" si="3"/>
        <v>22.81</v>
      </c>
      <c r="H12" s="53">
        <f t="shared" si="3"/>
        <v>22.81</v>
      </c>
      <c r="I12" s="53">
        <f t="shared" si="3"/>
        <v>22.81</v>
      </c>
      <c r="J12" s="53">
        <f t="shared" si="3"/>
        <v>22.81</v>
      </c>
      <c r="K12" s="53">
        <f t="shared" si="3"/>
        <v>22.81</v>
      </c>
      <c r="L12" s="53">
        <f t="shared" si="3"/>
        <v>22.81</v>
      </c>
      <c r="M12" s="53">
        <f t="shared" si="3"/>
        <v>22.81</v>
      </c>
      <c r="N12" s="53">
        <f t="shared" si="3"/>
        <v>22.81</v>
      </c>
      <c r="O12" s="53">
        <f t="shared" si="3"/>
        <v>22.81</v>
      </c>
      <c r="P12" s="53">
        <f t="shared" si="3"/>
        <v>22.81</v>
      </c>
      <c r="Q12" s="53">
        <f t="shared" si="3"/>
        <v>22.81</v>
      </c>
      <c r="R12" s="53">
        <f t="shared" si="3"/>
        <v>22.81</v>
      </c>
      <c r="S12" s="53">
        <f t="shared" si="3"/>
        <v>22.81</v>
      </c>
      <c r="T12" s="53">
        <f t="shared" si="3"/>
        <v>22.81</v>
      </c>
      <c r="U12" s="53">
        <f t="shared" si="3"/>
        <v>22.81</v>
      </c>
      <c r="V12" s="53">
        <f t="shared" si="3"/>
        <v>22.81</v>
      </c>
      <c r="W12" s="53">
        <f t="shared" ref="W12:CH12" si="4">22.81+W13</f>
        <v>22.81</v>
      </c>
      <c r="X12" s="53">
        <f t="shared" si="4"/>
        <v>22.81</v>
      </c>
      <c r="Y12" s="53">
        <f t="shared" si="4"/>
        <v>22.81</v>
      </c>
      <c r="Z12" s="53">
        <f t="shared" si="4"/>
        <v>22.81</v>
      </c>
      <c r="AA12" s="53">
        <f t="shared" si="4"/>
        <v>22.81</v>
      </c>
      <c r="AB12" s="53">
        <f t="shared" si="4"/>
        <v>22.81</v>
      </c>
      <c r="AC12" s="53">
        <f t="shared" si="4"/>
        <v>22.81</v>
      </c>
      <c r="AD12" s="53">
        <f t="shared" si="4"/>
        <v>22.81</v>
      </c>
      <c r="AE12" s="53">
        <f t="shared" si="4"/>
        <v>22.81</v>
      </c>
      <c r="AF12" s="53">
        <f t="shared" si="4"/>
        <v>22.81</v>
      </c>
      <c r="AG12" s="53">
        <f t="shared" si="4"/>
        <v>21.81</v>
      </c>
      <c r="AH12" s="55">
        <f t="shared" si="4"/>
        <v>22.81</v>
      </c>
      <c r="AI12" s="52">
        <f t="shared" si="4"/>
        <v>21.81</v>
      </c>
      <c r="AJ12" s="53">
        <f t="shared" si="4"/>
        <v>22.81</v>
      </c>
      <c r="AK12" s="53">
        <f t="shared" si="4"/>
        <v>21.61</v>
      </c>
      <c r="AL12" s="53">
        <f t="shared" si="4"/>
        <v>22.81</v>
      </c>
      <c r="AM12" s="53">
        <f t="shared" si="4"/>
        <v>22.81</v>
      </c>
      <c r="AN12" s="53">
        <f t="shared" si="4"/>
        <v>22.81</v>
      </c>
      <c r="AO12" s="53">
        <f t="shared" si="4"/>
        <v>22.009999999999998</v>
      </c>
      <c r="AP12" s="53">
        <f t="shared" si="4"/>
        <v>22.81</v>
      </c>
      <c r="AQ12" s="53">
        <f t="shared" si="4"/>
        <v>20.41</v>
      </c>
      <c r="AR12" s="53">
        <f t="shared" si="4"/>
        <v>20.41</v>
      </c>
      <c r="AS12" s="53">
        <f t="shared" si="4"/>
        <v>20.41</v>
      </c>
      <c r="AT12" s="53">
        <f t="shared" si="4"/>
        <v>22.81</v>
      </c>
      <c r="AU12" s="53">
        <f t="shared" si="4"/>
        <v>22.81</v>
      </c>
      <c r="AV12" s="53">
        <f t="shared" si="4"/>
        <v>22.81</v>
      </c>
      <c r="AW12" s="53">
        <f t="shared" si="4"/>
        <v>22.81</v>
      </c>
      <c r="AX12" s="53">
        <f t="shared" si="4"/>
        <v>22.81</v>
      </c>
      <c r="AY12" s="53">
        <f t="shared" si="4"/>
        <v>22.81</v>
      </c>
      <c r="AZ12" s="53">
        <f t="shared" si="4"/>
        <v>22.81</v>
      </c>
      <c r="BA12" s="53">
        <f t="shared" si="4"/>
        <v>22.81</v>
      </c>
      <c r="BB12" s="53">
        <f t="shared" si="4"/>
        <v>22.81</v>
      </c>
      <c r="BC12" s="53">
        <f t="shared" si="4"/>
        <v>22.81</v>
      </c>
      <c r="BD12" s="53">
        <f t="shared" si="4"/>
        <v>22.81</v>
      </c>
      <c r="BE12" s="53">
        <f t="shared" si="4"/>
        <v>22.81</v>
      </c>
      <c r="BF12" s="53">
        <f t="shared" si="4"/>
        <v>22.81</v>
      </c>
      <c r="BG12" s="53">
        <f t="shared" si="4"/>
        <v>22.81</v>
      </c>
      <c r="BH12" s="53">
        <f t="shared" si="4"/>
        <v>22.81</v>
      </c>
      <c r="BI12" s="53">
        <f t="shared" si="4"/>
        <v>22.81</v>
      </c>
      <c r="BJ12" s="53">
        <f t="shared" si="4"/>
        <v>22.81</v>
      </c>
      <c r="BK12" s="53">
        <f t="shared" si="4"/>
        <v>22.81</v>
      </c>
      <c r="BL12" s="54">
        <f t="shared" si="4"/>
        <v>22.81</v>
      </c>
      <c r="BM12" s="52">
        <f t="shared" si="4"/>
        <v>22.81</v>
      </c>
      <c r="BN12" s="53">
        <f t="shared" si="4"/>
        <v>22.81</v>
      </c>
      <c r="BO12" s="53">
        <f t="shared" si="4"/>
        <v>22.81</v>
      </c>
      <c r="BP12" s="53">
        <f t="shared" si="4"/>
        <v>22.81</v>
      </c>
      <c r="BQ12" s="53">
        <f t="shared" si="4"/>
        <v>22.81</v>
      </c>
      <c r="BR12" s="53">
        <f t="shared" si="4"/>
        <v>22.81</v>
      </c>
      <c r="BS12" s="53">
        <f t="shared" si="4"/>
        <v>22.81</v>
      </c>
      <c r="BT12" s="53">
        <f t="shared" si="4"/>
        <v>22.81</v>
      </c>
      <c r="BU12" s="53">
        <f t="shared" si="4"/>
        <v>22.81</v>
      </c>
      <c r="BV12" s="53">
        <f t="shared" si="4"/>
        <v>22.81</v>
      </c>
      <c r="BW12" s="53">
        <f t="shared" si="4"/>
        <v>22.81</v>
      </c>
      <c r="BX12" s="53">
        <f t="shared" si="4"/>
        <v>22.81</v>
      </c>
      <c r="BY12" s="53">
        <f t="shared" si="4"/>
        <v>22.81</v>
      </c>
      <c r="BZ12" s="53">
        <f t="shared" si="4"/>
        <v>22.81</v>
      </c>
      <c r="CA12" s="53">
        <f t="shared" si="4"/>
        <v>22.81</v>
      </c>
      <c r="CB12" s="53">
        <f t="shared" si="4"/>
        <v>22.81</v>
      </c>
      <c r="CC12" s="53">
        <f t="shared" si="4"/>
        <v>22.81</v>
      </c>
      <c r="CD12" s="53">
        <f t="shared" si="4"/>
        <v>22.81</v>
      </c>
      <c r="CE12" s="53">
        <f t="shared" si="4"/>
        <v>22.81</v>
      </c>
      <c r="CF12" s="53">
        <f t="shared" si="4"/>
        <v>22.81</v>
      </c>
      <c r="CG12" s="53">
        <f t="shared" si="4"/>
        <v>22.81</v>
      </c>
      <c r="CH12" s="53">
        <f t="shared" si="4"/>
        <v>22.81</v>
      </c>
      <c r="CI12" s="53">
        <f t="shared" ref="CI12:CQ12" si="5">22.81+CI13</f>
        <v>22.81</v>
      </c>
      <c r="CJ12" s="53">
        <f t="shared" si="5"/>
        <v>22.81</v>
      </c>
      <c r="CK12" s="53">
        <f t="shared" si="5"/>
        <v>22.81</v>
      </c>
      <c r="CL12" s="53">
        <f t="shared" si="5"/>
        <v>22.81</v>
      </c>
      <c r="CM12" s="53">
        <f t="shared" si="5"/>
        <v>22.81</v>
      </c>
      <c r="CN12" s="53">
        <f t="shared" si="5"/>
        <v>22.81</v>
      </c>
      <c r="CO12" s="53">
        <f t="shared" si="5"/>
        <v>22.81</v>
      </c>
      <c r="CP12" s="53">
        <f t="shared" si="5"/>
        <v>22.81</v>
      </c>
      <c r="CQ12" s="54">
        <f t="shared" si="5"/>
        <v>22.81</v>
      </c>
    </row>
    <row r="13" spans="1:95" x14ac:dyDescent="0.35">
      <c r="A13" s="206"/>
      <c r="B13" s="6" t="s">
        <v>17</v>
      </c>
      <c r="C13" s="208"/>
      <c r="D13" s="61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49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103">
        <v>-1</v>
      </c>
      <c r="AH13" s="60"/>
      <c r="AI13" s="103">
        <v>-1</v>
      </c>
      <c r="AJ13" s="61"/>
      <c r="AK13" s="103">
        <v>-1.2</v>
      </c>
      <c r="AL13" s="61"/>
      <c r="AM13" s="61"/>
      <c r="AN13" s="61"/>
      <c r="AO13" s="103">
        <v>-0.8</v>
      </c>
      <c r="AP13" s="56"/>
      <c r="AQ13" s="103">
        <f>-2.4</f>
        <v>-2.4</v>
      </c>
      <c r="AR13" s="103">
        <f t="shared" ref="AR13:AS13" si="6">-2.4</f>
        <v>-2.4</v>
      </c>
      <c r="AS13" s="103">
        <f t="shared" si="6"/>
        <v>-2.4</v>
      </c>
      <c r="AT13" s="49"/>
      <c r="AU13" s="49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8"/>
      <c r="BM13" s="61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49"/>
      <c r="BY13" s="49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8"/>
    </row>
    <row r="14" spans="1:95" x14ac:dyDescent="0.35">
      <c r="A14" s="205" t="s">
        <v>19</v>
      </c>
      <c r="B14" s="6" t="s">
        <v>16</v>
      </c>
      <c r="C14" s="208"/>
      <c r="D14" s="52">
        <f t="shared" ref="D14:V14" si="7">2.85992662784+D15</f>
        <v>2.8599266278400002</v>
      </c>
      <c r="E14" s="53">
        <f t="shared" si="7"/>
        <v>2.8599266278400002</v>
      </c>
      <c r="F14" s="53">
        <f t="shared" si="7"/>
        <v>2.8599266278400002</v>
      </c>
      <c r="G14" s="53">
        <f t="shared" si="7"/>
        <v>2.8599266278400002</v>
      </c>
      <c r="H14" s="53">
        <f t="shared" si="7"/>
        <v>2.8599266278400002</v>
      </c>
      <c r="I14" s="53">
        <f t="shared" si="7"/>
        <v>2.8599266278400002</v>
      </c>
      <c r="J14" s="53">
        <f t="shared" si="7"/>
        <v>2.8599266278400002</v>
      </c>
      <c r="K14" s="53">
        <f t="shared" si="7"/>
        <v>2.8599266278400002</v>
      </c>
      <c r="L14" s="53">
        <f t="shared" si="7"/>
        <v>2.8599266278400002</v>
      </c>
      <c r="M14" s="53">
        <f t="shared" si="7"/>
        <v>2.8599266278400002</v>
      </c>
      <c r="N14" s="53">
        <f t="shared" si="7"/>
        <v>2.8599266278400002</v>
      </c>
      <c r="O14" s="53">
        <f t="shared" si="7"/>
        <v>2.8599266278400002</v>
      </c>
      <c r="P14" s="53">
        <f t="shared" si="7"/>
        <v>2.8599266278400002</v>
      </c>
      <c r="Q14" s="53">
        <f t="shared" si="7"/>
        <v>2.8599266278400002</v>
      </c>
      <c r="R14" s="53">
        <f t="shared" si="7"/>
        <v>2.8599266278400002</v>
      </c>
      <c r="S14" s="53">
        <f t="shared" si="7"/>
        <v>2.8599266278400002</v>
      </c>
      <c r="T14" s="53">
        <f t="shared" si="7"/>
        <v>2.8599266278400002</v>
      </c>
      <c r="U14" s="53">
        <f t="shared" si="7"/>
        <v>2.8599266278400002</v>
      </c>
      <c r="V14" s="53">
        <f t="shared" si="7"/>
        <v>2.8599266278400002</v>
      </c>
      <c r="W14" s="53">
        <f t="shared" ref="W14:CH14" si="8">2.85992662784+W15</f>
        <v>2.8599266278400002</v>
      </c>
      <c r="X14" s="53">
        <f t="shared" si="8"/>
        <v>2.8599266278400002</v>
      </c>
      <c r="Y14" s="53">
        <f t="shared" si="8"/>
        <v>2.8599266278400002</v>
      </c>
      <c r="Z14" s="53">
        <f t="shared" si="8"/>
        <v>2.8599266278400002</v>
      </c>
      <c r="AA14" s="53">
        <f t="shared" si="8"/>
        <v>2.8599266278400002</v>
      </c>
      <c r="AB14" s="53">
        <f t="shared" si="8"/>
        <v>2.8599266278400002</v>
      </c>
      <c r="AC14" s="53">
        <f t="shared" si="8"/>
        <v>2.8599266278400002</v>
      </c>
      <c r="AD14" s="53">
        <f t="shared" si="8"/>
        <v>2.8599266278400002</v>
      </c>
      <c r="AE14" s="53">
        <f t="shared" si="8"/>
        <v>2.8599266278400002</v>
      </c>
      <c r="AF14" s="53">
        <f t="shared" si="8"/>
        <v>2.8599266278400002</v>
      </c>
      <c r="AG14" s="53">
        <f t="shared" si="8"/>
        <v>2.8599266278400002</v>
      </c>
      <c r="AH14" s="55">
        <f t="shared" si="8"/>
        <v>2.8599266278400002</v>
      </c>
      <c r="AI14" s="52">
        <f t="shared" si="8"/>
        <v>2.8599266278400002</v>
      </c>
      <c r="AJ14" s="53">
        <f t="shared" si="8"/>
        <v>2.8599266278400002</v>
      </c>
      <c r="AK14" s="53">
        <f t="shared" si="8"/>
        <v>2.8599266278400002</v>
      </c>
      <c r="AL14" s="53">
        <f t="shared" si="8"/>
        <v>2.8599266278400002</v>
      </c>
      <c r="AM14" s="53">
        <f t="shared" si="8"/>
        <v>2.8599266278400002</v>
      </c>
      <c r="AN14" s="53">
        <f t="shared" si="8"/>
        <v>2.8599266278400002</v>
      </c>
      <c r="AO14" s="53">
        <f t="shared" si="8"/>
        <v>2.8599266278400002</v>
      </c>
      <c r="AP14" s="53">
        <f t="shared" si="8"/>
        <v>2.8599266278400002</v>
      </c>
      <c r="AQ14" s="53">
        <f t="shared" si="8"/>
        <v>2.8599266278400002</v>
      </c>
      <c r="AR14" s="53">
        <f t="shared" si="8"/>
        <v>2.8599266278400002</v>
      </c>
      <c r="AS14" s="53">
        <f t="shared" si="8"/>
        <v>2.8599266278400002</v>
      </c>
      <c r="AT14" s="53">
        <f t="shared" si="8"/>
        <v>2.8599266278400002</v>
      </c>
      <c r="AU14" s="53">
        <f t="shared" si="8"/>
        <v>2.8599266278400002</v>
      </c>
      <c r="AV14" s="53">
        <f t="shared" si="8"/>
        <v>2.8599266278400002</v>
      </c>
      <c r="AW14" s="53">
        <f t="shared" si="8"/>
        <v>2.8599266278400002</v>
      </c>
      <c r="AX14" s="53">
        <f t="shared" si="8"/>
        <v>2.8599266278400002</v>
      </c>
      <c r="AY14" s="53">
        <f t="shared" si="8"/>
        <v>2.8599266278400002</v>
      </c>
      <c r="AZ14" s="53">
        <f t="shared" si="8"/>
        <v>2.8599266278400002</v>
      </c>
      <c r="BA14" s="53">
        <f t="shared" si="8"/>
        <v>2.8599266278400002</v>
      </c>
      <c r="BB14" s="53">
        <f t="shared" si="8"/>
        <v>2.8599266278400002</v>
      </c>
      <c r="BC14" s="53">
        <f t="shared" si="8"/>
        <v>2.8599266278400002</v>
      </c>
      <c r="BD14" s="53">
        <f t="shared" si="8"/>
        <v>2.8599266278400002</v>
      </c>
      <c r="BE14" s="53">
        <f t="shared" si="8"/>
        <v>2.8599266278400002</v>
      </c>
      <c r="BF14" s="53">
        <f t="shared" si="8"/>
        <v>2.8599266278400002</v>
      </c>
      <c r="BG14" s="53">
        <f t="shared" si="8"/>
        <v>2.8599266278400002</v>
      </c>
      <c r="BH14" s="53">
        <f t="shared" si="8"/>
        <v>2.8599266278400002</v>
      </c>
      <c r="BI14" s="53">
        <f t="shared" si="8"/>
        <v>2.8599266278400002</v>
      </c>
      <c r="BJ14" s="53">
        <f t="shared" si="8"/>
        <v>2.8599266278400002</v>
      </c>
      <c r="BK14" s="53">
        <f t="shared" si="8"/>
        <v>2.8599266278400002</v>
      </c>
      <c r="BL14" s="54">
        <f t="shared" si="8"/>
        <v>2.8599266278400002</v>
      </c>
      <c r="BM14" s="52">
        <f t="shared" si="8"/>
        <v>2.8599266278400002</v>
      </c>
      <c r="BN14" s="53">
        <f t="shared" si="8"/>
        <v>2.8599266278400002</v>
      </c>
      <c r="BO14" s="53">
        <f t="shared" si="8"/>
        <v>2.8599266278400002</v>
      </c>
      <c r="BP14" s="53">
        <f t="shared" si="8"/>
        <v>2.8599266278400002</v>
      </c>
      <c r="BQ14" s="53">
        <f t="shared" si="8"/>
        <v>2.8599266278400002</v>
      </c>
      <c r="BR14" s="53">
        <f t="shared" si="8"/>
        <v>2.8599266278400002</v>
      </c>
      <c r="BS14" s="53">
        <f t="shared" si="8"/>
        <v>2.8599266278400002</v>
      </c>
      <c r="BT14" s="53">
        <f t="shared" si="8"/>
        <v>2.8599266278400002</v>
      </c>
      <c r="BU14" s="53">
        <f t="shared" si="8"/>
        <v>2.8599266278400002</v>
      </c>
      <c r="BV14" s="53">
        <f t="shared" si="8"/>
        <v>2.8599266278400002</v>
      </c>
      <c r="BW14" s="53">
        <f t="shared" si="8"/>
        <v>2.8599266278400002</v>
      </c>
      <c r="BX14" s="53">
        <f t="shared" si="8"/>
        <v>2.8599266278400002</v>
      </c>
      <c r="BY14" s="53">
        <f t="shared" si="8"/>
        <v>2.8599266278400002</v>
      </c>
      <c r="BZ14" s="53">
        <f t="shared" si="8"/>
        <v>2.8599266278400002</v>
      </c>
      <c r="CA14" s="53">
        <f t="shared" si="8"/>
        <v>2.8599266278400002</v>
      </c>
      <c r="CB14" s="53">
        <f t="shared" si="8"/>
        <v>2.8599266278400002</v>
      </c>
      <c r="CC14" s="53">
        <f t="shared" si="8"/>
        <v>2.8599266278400002</v>
      </c>
      <c r="CD14" s="53">
        <f t="shared" si="8"/>
        <v>2.8599266278400002</v>
      </c>
      <c r="CE14" s="53">
        <f t="shared" si="8"/>
        <v>2.8599266278400002</v>
      </c>
      <c r="CF14" s="53">
        <f t="shared" si="8"/>
        <v>2.8599266278400002</v>
      </c>
      <c r="CG14" s="53">
        <f t="shared" si="8"/>
        <v>2.8599266278400002</v>
      </c>
      <c r="CH14" s="53">
        <f t="shared" si="8"/>
        <v>2.8599266278400002</v>
      </c>
      <c r="CI14" s="53">
        <f t="shared" ref="CI14:CQ14" si="9">2.85992662784+CI15</f>
        <v>2.8599266278400002</v>
      </c>
      <c r="CJ14" s="53">
        <f t="shared" si="9"/>
        <v>2.8599266278400002</v>
      </c>
      <c r="CK14" s="53">
        <f t="shared" si="9"/>
        <v>2.8599266278400002</v>
      </c>
      <c r="CL14" s="53">
        <f t="shared" si="9"/>
        <v>2.8599266278400002</v>
      </c>
      <c r="CM14" s="53">
        <f t="shared" si="9"/>
        <v>2.8599266278400002</v>
      </c>
      <c r="CN14" s="53">
        <f t="shared" si="9"/>
        <v>2.8599266278400002</v>
      </c>
      <c r="CO14" s="53">
        <f t="shared" si="9"/>
        <v>2.8599266278400002</v>
      </c>
      <c r="CP14" s="53">
        <f t="shared" si="9"/>
        <v>2.8599266278400002</v>
      </c>
      <c r="CQ14" s="54">
        <f t="shared" si="9"/>
        <v>2.8599266278400002</v>
      </c>
    </row>
    <row r="15" spans="1:95" x14ac:dyDescent="0.35">
      <c r="A15" s="206"/>
      <c r="B15" s="6" t="s">
        <v>17</v>
      </c>
      <c r="C15" s="208"/>
      <c r="D15" s="61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63"/>
      <c r="AI15" s="61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62"/>
      <c r="BM15" s="61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62"/>
    </row>
    <row r="16" spans="1:95" x14ac:dyDescent="0.35">
      <c r="A16" s="205" t="s">
        <v>20</v>
      </c>
      <c r="B16" s="6" t="s">
        <v>16</v>
      </c>
      <c r="C16" s="208"/>
      <c r="D16" s="52">
        <f t="shared" ref="D16:V16" si="10">5.6+D17</f>
        <v>5.6</v>
      </c>
      <c r="E16" s="53">
        <f t="shared" si="10"/>
        <v>5.6</v>
      </c>
      <c r="F16" s="53">
        <f t="shared" si="10"/>
        <v>5.6</v>
      </c>
      <c r="G16" s="53">
        <f t="shared" si="10"/>
        <v>5.6</v>
      </c>
      <c r="H16" s="53">
        <f t="shared" si="10"/>
        <v>5.6</v>
      </c>
      <c r="I16" s="53">
        <f t="shared" si="10"/>
        <v>5.6</v>
      </c>
      <c r="J16" s="53">
        <f t="shared" si="10"/>
        <v>5.6</v>
      </c>
      <c r="K16" s="53">
        <f t="shared" si="10"/>
        <v>5.6</v>
      </c>
      <c r="L16" s="53">
        <f t="shared" si="10"/>
        <v>5.6</v>
      </c>
      <c r="M16" s="53">
        <f t="shared" si="10"/>
        <v>5.6</v>
      </c>
      <c r="N16" s="53">
        <f t="shared" si="10"/>
        <v>5.6</v>
      </c>
      <c r="O16" s="53">
        <f t="shared" si="10"/>
        <v>5.6</v>
      </c>
      <c r="P16" s="53">
        <f t="shared" si="10"/>
        <v>5.6</v>
      </c>
      <c r="Q16" s="53">
        <f t="shared" si="10"/>
        <v>5.6</v>
      </c>
      <c r="R16" s="53">
        <f t="shared" si="10"/>
        <v>5.6</v>
      </c>
      <c r="S16" s="53">
        <f t="shared" si="10"/>
        <v>5.6</v>
      </c>
      <c r="T16" s="53">
        <f t="shared" si="10"/>
        <v>5.6</v>
      </c>
      <c r="U16" s="53">
        <f t="shared" si="10"/>
        <v>5.6</v>
      </c>
      <c r="V16" s="53">
        <f t="shared" si="10"/>
        <v>5.6</v>
      </c>
      <c r="W16" s="53">
        <f t="shared" ref="W16:CH16" si="11">5.6+W17</f>
        <v>5.6</v>
      </c>
      <c r="X16" s="53">
        <f t="shared" si="11"/>
        <v>5.6</v>
      </c>
      <c r="Y16" s="53">
        <f t="shared" si="11"/>
        <v>5.6</v>
      </c>
      <c r="Z16" s="53">
        <f t="shared" si="11"/>
        <v>5.6</v>
      </c>
      <c r="AA16" s="53">
        <f t="shared" si="11"/>
        <v>5.6</v>
      </c>
      <c r="AB16" s="53">
        <f t="shared" si="11"/>
        <v>5.6</v>
      </c>
      <c r="AC16" s="53">
        <f t="shared" si="11"/>
        <v>5.6</v>
      </c>
      <c r="AD16" s="53">
        <f t="shared" si="11"/>
        <v>5.6</v>
      </c>
      <c r="AE16" s="53">
        <f t="shared" si="11"/>
        <v>5.6</v>
      </c>
      <c r="AF16" s="53">
        <f t="shared" si="11"/>
        <v>5.6</v>
      </c>
      <c r="AG16" s="53">
        <f t="shared" si="11"/>
        <v>5.6</v>
      </c>
      <c r="AH16" s="55">
        <f t="shared" si="11"/>
        <v>5.6</v>
      </c>
      <c r="AI16" s="52">
        <f t="shared" si="11"/>
        <v>5.6</v>
      </c>
      <c r="AJ16" s="53">
        <f t="shared" si="11"/>
        <v>5.6</v>
      </c>
      <c r="AK16" s="53">
        <f t="shared" si="11"/>
        <v>5.6</v>
      </c>
      <c r="AL16" s="53">
        <f t="shared" si="11"/>
        <v>5.6</v>
      </c>
      <c r="AM16" s="53">
        <f t="shared" si="11"/>
        <v>5.6</v>
      </c>
      <c r="AN16" s="53">
        <f t="shared" si="11"/>
        <v>5.6</v>
      </c>
      <c r="AO16" s="53">
        <f t="shared" si="11"/>
        <v>5.6</v>
      </c>
      <c r="AP16" s="53">
        <f t="shared" si="11"/>
        <v>5.6</v>
      </c>
      <c r="AQ16" s="53">
        <f t="shared" si="11"/>
        <v>5.6</v>
      </c>
      <c r="AR16" s="53">
        <f t="shared" si="11"/>
        <v>5.6</v>
      </c>
      <c r="AS16" s="53">
        <f t="shared" si="11"/>
        <v>5.6</v>
      </c>
      <c r="AT16" s="53">
        <f t="shared" si="11"/>
        <v>5.6</v>
      </c>
      <c r="AU16" s="53">
        <f t="shared" si="11"/>
        <v>5.6</v>
      </c>
      <c r="AV16" s="53">
        <f t="shared" si="11"/>
        <v>5.6</v>
      </c>
      <c r="AW16" s="53">
        <f t="shared" si="11"/>
        <v>5.6</v>
      </c>
      <c r="AX16" s="53">
        <f t="shared" si="11"/>
        <v>5.6</v>
      </c>
      <c r="AY16" s="53">
        <f t="shared" si="11"/>
        <v>5.6</v>
      </c>
      <c r="AZ16" s="53">
        <f t="shared" si="11"/>
        <v>5.6</v>
      </c>
      <c r="BA16" s="53">
        <f t="shared" si="11"/>
        <v>5.6</v>
      </c>
      <c r="BB16" s="53">
        <f t="shared" si="11"/>
        <v>5.6</v>
      </c>
      <c r="BC16" s="53">
        <f t="shared" si="11"/>
        <v>5.6</v>
      </c>
      <c r="BD16" s="53">
        <f t="shared" si="11"/>
        <v>5.6</v>
      </c>
      <c r="BE16" s="53">
        <f t="shared" si="11"/>
        <v>5.6</v>
      </c>
      <c r="BF16" s="53">
        <f t="shared" si="11"/>
        <v>5.6</v>
      </c>
      <c r="BG16" s="53">
        <f t="shared" si="11"/>
        <v>5.6</v>
      </c>
      <c r="BH16" s="53">
        <f t="shared" si="11"/>
        <v>5.6</v>
      </c>
      <c r="BI16" s="53">
        <f t="shared" si="11"/>
        <v>5.6</v>
      </c>
      <c r="BJ16" s="53">
        <f t="shared" si="11"/>
        <v>5.6</v>
      </c>
      <c r="BK16" s="53">
        <f t="shared" si="11"/>
        <v>5.6</v>
      </c>
      <c r="BL16" s="54">
        <f t="shared" si="11"/>
        <v>5.6</v>
      </c>
      <c r="BM16" s="52">
        <f t="shared" si="11"/>
        <v>5.6</v>
      </c>
      <c r="BN16" s="53">
        <f t="shared" si="11"/>
        <v>5.6</v>
      </c>
      <c r="BO16" s="53">
        <f t="shared" si="11"/>
        <v>5.6</v>
      </c>
      <c r="BP16" s="53">
        <f t="shared" si="11"/>
        <v>5.6</v>
      </c>
      <c r="BQ16" s="53">
        <f t="shared" si="11"/>
        <v>5.6</v>
      </c>
      <c r="BR16" s="53">
        <f t="shared" si="11"/>
        <v>5.6</v>
      </c>
      <c r="BS16" s="53">
        <f t="shared" si="11"/>
        <v>5.6</v>
      </c>
      <c r="BT16" s="53">
        <f t="shared" si="11"/>
        <v>5.6</v>
      </c>
      <c r="BU16" s="53">
        <f t="shared" si="11"/>
        <v>5.6</v>
      </c>
      <c r="BV16" s="53">
        <f t="shared" si="11"/>
        <v>5.6</v>
      </c>
      <c r="BW16" s="53">
        <f t="shared" si="11"/>
        <v>5.6</v>
      </c>
      <c r="BX16" s="53">
        <f t="shared" si="11"/>
        <v>5.6</v>
      </c>
      <c r="BY16" s="53">
        <f t="shared" si="11"/>
        <v>5.6</v>
      </c>
      <c r="BZ16" s="53">
        <f t="shared" si="11"/>
        <v>5.6</v>
      </c>
      <c r="CA16" s="53">
        <f t="shared" si="11"/>
        <v>5.6</v>
      </c>
      <c r="CB16" s="53">
        <f t="shared" si="11"/>
        <v>5.6</v>
      </c>
      <c r="CC16" s="53">
        <f t="shared" si="11"/>
        <v>5.6</v>
      </c>
      <c r="CD16" s="53">
        <f t="shared" si="11"/>
        <v>5.6</v>
      </c>
      <c r="CE16" s="53">
        <f t="shared" si="11"/>
        <v>5.6</v>
      </c>
      <c r="CF16" s="53">
        <f t="shared" si="11"/>
        <v>5.6</v>
      </c>
      <c r="CG16" s="53">
        <f t="shared" si="11"/>
        <v>5.6</v>
      </c>
      <c r="CH16" s="53">
        <f t="shared" si="11"/>
        <v>5.6</v>
      </c>
      <c r="CI16" s="53">
        <f t="shared" ref="CI16:CQ16" si="12">5.6+CI17</f>
        <v>5.6</v>
      </c>
      <c r="CJ16" s="53">
        <f t="shared" si="12"/>
        <v>5.6</v>
      </c>
      <c r="CK16" s="53">
        <f t="shared" si="12"/>
        <v>5.6</v>
      </c>
      <c r="CL16" s="53">
        <f t="shared" si="12"/>
        <v>5.6</v>
      </c>
      <c r="CM16" s="53">
        <f t="shared" si="12"/>
        <v>5.6</v>
      </c>
      <c r="CN16" s="53">
        <f t="shared" si="12"/>
        <v>5.6</v>
      </c>
      <c r="CO16" s="53">
        <f t="shared" si="12"/>
        <v>5.6</v>
      </c>
      <c r="CP16" s="53">
        <f t="shared" si="12"/>
        <v>5.6</v>
      </c>
      <c r="CQ16" s="54">
        <f t="shared" si="12"/>
        <v>5.6</v>
      </c>
    </row>
    <row r="17" spans="1:95" x14ac:dyDescent="0.35">
      <c r="A17" s="206"/>
      <c r="B17" s="6" t="s">
        <v>17</v>
      </c>
      <c r="C17" s="208"/>
      <c r="D17" s="61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63"/>
      <c r="AI17" s="61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62"/>
      <c r="BM17" s="61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62"/>
    </row>
    <row r="18" spans="1:95" x14ac:dyDescent="0.35">
      <c r="A18" s="205" t="s">
        <v>21</v>
      </c>
      <c r="B18" s="6" t="s">
        <v>16</v>
      </c>
      <c r="C18" s="208"/>
      <c r="D18" s="52">
        <f t="shared" ref="D18:M18" si="13">1.353+D19</f>
        <v>1.353</v>
      </c>
      <c r="E18" s="53">
        <f t="shared" si="13"/>
        <v>1.353</v>
      </c>
      <c r="F18" s="53">
        <f t="shared" si="13"/>
        <v>1.353</v>
      </c>
      <c r="G18" s="53">
        <f t="shared" si="13"/>
        <v>1.353</v>
      </c>
      <c r="H18" s="53">
        <f t="shared" si="13"/>
        <v>1.353</v>
      </c>
      <c r="I18" s="53">
        <f t="shared" si="13"/>
        <v>1.353</v>
      </c>
      <c r="J18" s="53">
        <f t="shared" si="13"/>
        <v>1.353</v>
      </c>
      <c r="K18" s="53">
        <f t="shared" si="13"/>
        <v>1.353</v>
      </c>
      <c r="L18" s="53">
        <f t="shared" si="13"/>
        <v>1.353</v>
      </c>
      <c r="M18" s="53">
        <f t="shared" si="13"/>
        <v>1.353</v>
      </c>
      <c r="N18" s="53">
        <f t="shared" ref="N18:BY18" si="14">1.353+N19</f>
        <v>1.353</v>
      </c>
      <c r="O18" s="53">
        <f t="shared" si="14"/>
        <v>1.353</v>
      </c>
      <c r="P18" s="53">
        <f t="shared" si="14"/>
        <v>1.353</v>
      </c>
      <c r="Q18" s="53">
        <f t="shared" si="14"/>
        <v>1.353</v>
      </c>
      <c r="R18" s="53">
        <f t="shared" si="14"/>
        <v>1.353</v>
      </c>
      <c r="S18" s="53">
        <f t="shared" si="14"/>
        <v>1.353</v>
      </c>
      <c r="T18" s="53">
        <f t="shared" si="14"/>
        <v>1.353</v>
      </c>
      <c r="U18" s="53">
        <f t="shared" si="14"/>
        <v>1.353</v>
      </c>
      <c r="V18" s="53">
        <f t="shared" si="14"/>
        <v>1.353</v>
      </c>
      <c r="W18" s="53">
        <f t="shared" si="14"/>
        <v>1.353</v>
      </c>
      <c r="X18" s="53">
        <f t="shared" si="14"/>
        <v>1.353</v>
      </c>
      <c r="Y18" s="53">
        <f t="shared" si="14"/>
        <v>1.353</v>
      </c>
      <c r="Z18" s="53">
        <f t="shared" si="14"/>
        <v>1.353</v>
      </c>
      <c r="AA18" s="53">
        <f t="shared" si="14"/>
        <v>1.353</v>
      </c>
      <c r="AB18" s="53">
        <f t="shared" si="14"/>
        <v>1.353</v>
      </c>
      <c r="AC18" s="53">
        <f t="shared" si="14"/>
        <v>1.353</v>
      </c>
      <c r="AD18" s="53">
        <f t="shared" si="14"/>
        <v>1.353</v>
      </c>
      <c r="AE18" s="53">
        <f t="shared" si="14"/>
        <v>1.353</v>
      </c>
      <c r="AF18" s="53">
        <f t="shared" si="14"/>
        <v>1.353</v>
      </c>
      <c r="AG18" s="53">
        <f t="shared" si="14"/>
        <v>1.353</v>
      </c>
      <c r="AH18" s="55">
        <f t="shared" si="14"/>
        <v>1.353</v>
      </c>
      <c r="AI18" s="52">
        <f t="shared" si="14"/>
        <v>1.353</v>
      </c>
      <c r="AJ18" s="53">
        <f>1.353+AY19</f>
        <v>1.333</v>
      </c>
      <c r="AK18" s="53">
        <f>1.353+AZ19</f>
        <v>1.333</v>
      </c>
      <c r="AL18" s="53">
        <f>1.353+BA19</f>
        <v>1.333</v>
      </c>
      <c r="AM18" s="53">
        <f>1.353+BB19</f>
        <v>1.333</v>
      </c>
      <c r="AN18" s="53">
        <f>1.353+BC19</f>
        <v>1.333</v>
      </c>
      <c r="AO18" s="53">
        <f t="shared" si="14"/>
        <v>1.143</v>
      </c>
      <c r="AP18" s="53">
        <f t="shared" si="14"/>
        <v>0.55299999999999994</v>
      </c>
      <c r="AQ18" s="53">
        <f t="shared" si="14"/>
        <v>0.55299999999999994</v>
      </c>
      <c r="AR18" s="53">
        <f t="shared" si="14"/>
        <v>1.2729999999999999</v>
      </c>
      <c r="AS18" s="53">
        <f t="shared" si="14"/>
        <v>1.2729999999999999</v>
      </c>
      <c r="AT18" s="53">
        <f t="shared" si="14"/>
        <v>1.2729999999999999</v>
      </c>
      <c r="AU18" s="53">
        <f t="shared" si="14"/>
        <v>1.2729999999999999</v>
      </c>
      <c r="AV18" s="53">
        <f t="shared" si="14"/>
        <v>1.2729999999999999</v>
      </c>
      <c r="AW18" s="53">
        <f t="shared" si="14"/>
        <v>1.2729999999999999</v>
      </c>
      <c r="AX18" s="53">
        <f t="shared" si="14"/>
        <v>1.2729999999999999</v>
      </c>
      <c r="AY18" s="53">
        <f t="shared" si="14"/>
        <v>1.333</v>
      </c>
      <c r="AZ18" s="53">
        <f t="shared" si="14"/>
        <v>1.333</v>
      </c>
      <c r="BA18" s="53">
        <f t="shared" si="14"/>
        <v>1.333</v>
      </c>
      <c r="BB18" s="53">
        <f t="shared" si="14"/>
        <v>1.333</v>
      </c>
      <c r="BC18" s="53">
        <f t="shared" si="14"/>
        <v>1.333</v>
      </c>
      <c r="BD18" s="53">
        <f t="shared" si="14"/>
        <v>1.353</v>
      </c>
      <c r="BE18" s="53">
        <f t="shared" si="14"/>
        <v>1.353</v>
      </c>
      <c r="BF18" s="53">
        <f t="shared" si="14"/>
        <v>1.353</v>
      </c>
      <c r="BG18" s="53">
        <f t="shared" si="14"/>
        <v>1.353</v>
      </c>
      <c r="BH18" s="53">
        <f t="shared" si="14"/>
        <v>1.353</v>
      </c>
      <c r="BI18" s="53">
        <f t="shared" si="14"/>
        <v>1.353</v>
      </c>
      <c r="BJ18" s="53">
        <f t="shared" si="14"/>
        <v>1.353</v>
      </c>
      <c r="BK18" s="53">
        <f t="shared" si="14"/>
        <v>1.353</v>
      </c>
      <c r="BL18" s="54">
        <f t="shared" si="14"/>
        <v>1.353</v>
      </c>
      <c r="BM18" s="52">
        <f t="shared" si="14"/>
        <v>1.353</v>
      </c>
      <c r="BN18" s="53">
        <f t="shared" si="14"/>
        <v>1.353</v>
      </c>
      <c r="BO18" s="53">
        <f t="shared" si="14"/>
        <v>1.353</v>
      </c>
      <c r="BP18" s="53">
        <f t="shared" si="14"/>
        <v>1.353</v>
      </c>
      <c r="BQ18" s="53">
        <f t="shared" si="14"/>
        <v>1.353</v>
      </c>
      <c r="BR18" s="53">
        <f t="shared" si="14"/>
        <v>1.353</v>
      </c>
      <c r="BS18" s="53">
        <f t="shared" si="14"/>
        <v>1.353</v>
      </c>
      <c r="BT18" s="53">
        <f t="shared" si="14"/>
        <v>1.353</v>
      </c>
      <c r="BU18" s="53">
        <f t="shared" si="14"/>
        <v>1.353</v>
      </c>
      <c r="BV18" s="53">
        <f t="shared" si="14"/>
        <v>1.353</v>
      </c>
      <c r="BW18" s="53">
        <f t="shared" si="14"/>
        <v>1.353</v>
      </c>
      <c r="BX18" s="53">
        <f t="shared" si="14"/>
        <v>1.353</v>
      </c>
      <c r="BY18" s="53">
        <f t="shared" si="14"/>
        <v>1.353</v>
      </c>
      <c r="BZ18" s="53">
        <f t="shared" ref="BZ18:CQ18" si="15">1.353+BZ19</f>
        <v>1.353</v>
      </c>
      <c r="CA18" s="53">
        <f t="shared" si="15"/>
        <v>1.353</v>
      </c>
      <c r="CB18" s="53">
        <f t="shared" si="15"/>
        <v>1.353</v>
      </c>
      <c r="CC18" s="53">
        <f t="shared" si="15"/>
        <v>1.353</v>
      </c>
      <c r="CD18" s="53">
        <f t="shared" si="15"/>
        <v>1.353</v>
      </c>
      <c r="CE18" s="53">
        <f t="shared" si="15"/>
        <v>1.353</v>
      </c>
      <c r="CF18" s="53">
        <f t="shared" si="15"/>
        <v>1.353</v>
      </c>
      <c r="CG18" s="53">
        <f t="shared" si="15"/>
        <v>1.353</v>
      </c>
      <c r="CH18" s="53">
        <f t="shared" si="15"/>
        <v>1.353</v>
      </c>
      <c r="CI18" s="53">
        <f t="shared" si="15"/>
        <v>1.353</v>
      </c>
      <c r="CJ18" s="53">
        <f t="shared" si="15"/>
        <v>1.353</v>
      </c>
      <c r="CK18" s="53">
        <f t="shared" si="15"/>
        <v>1.353</v>
      </c>
      <c r="CL18" s="53">
        <f t="shared" si="15"/>
        <v>1.353</v>
      </c>
      <c r="CM18" s="53">
        <f t="shared" si="15"/>
        <v>1.353</v>
      </c>
      <c r="CN18" s="53">
        <f t="shared" si="15"/>
        <v>1.353</v>
      </c>
      <c r="CO18" s="53">
        <f t="shared" si="15"/>
        <v>1.353</v>
      </c>
      <c r="CP18" s="53">
        <f t="shared" si="15"/>
        <v>1.353</v>
      </c>
      <c r="CQ18" s="54">
        <f t="shared" si="15"/>
        <v>1.353</v>
      </c>
    </row>
    <row r="19" spans="1:95" x14ac:dyDescent="0.35">
      <c r="A19" s="206"/>
      <c r="B19" s="6" t="s">
        <v>17</v>
      </c>
      <c r="C19" s="208"/>
      <c r="D19" s="48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51"/>
      <c r="AI19" s="48"/>
      <c r="AO19" s="103">
        <v>-0.21</v>
      </c>
      <c r="AP19" s="103">
        <v>-0.8</v>
      </c>
      <c r="AQ19" s="103">
        <v>-0.8</v>
      </c>
      <c r="AR19" s="103">
        <v>-0.08</v>
      </c>
      <c r="AS19" s="103">
        <v>-0.08</v>
      </c>
      <c r="AT19" s="103">
        <v>-0.08</v>
      </c>
      <c r="AU19" s="103">
        <v>-0.08</v>
      </c>
      <c r="AV19" s="103">
        <v>-0.08</v>
      </c>
      <c r="AW19" s="103">
        <v>-0.08</v>
      </c>
      <c r="AX19" s="103">
        <v>-0.08</v>
      </c>
      <c r="AY19" s="103">
        <v>-0.02</v>
      </c>
      <c r="AZ19" s="103">
        <v>-0.02</v>
      </c>
      <c r="BA19" s="103">
        <v>-0.02</v>
      </c>
      <c r="BB19" s="103">
        <v>-0.02</v>
      </c>
      <c r="BC19" s="103">
        <v>-0.02</v>
      </c>
      <c r="BD19" s="49"/>
      <c r="BE19" s="49"/>
      <c r="BF19" s="49"/>
      <c r="BG19" s="49"/>
      <c r="BH19" s="49"/>
      <c r="BI19" s="49"/>
      <c r="BJ19" s="49"/>
      <c r="BK19" s="49"/>
      <c r="BL19" s="50"/>
      <c r="BM19" s="48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50"/>
    </row>
    <row r="20" spans="1:95" x14ac:dyDescent="0.35">
      <c r="A20" s="205" t="s">
        <v>22</v>
      </c>
      <c r="B20" s="6" t="s">
        <v>16</v>
      </c>
      <c r="C20" s="208"/>
      <c r="D20" s="52">
        <f t="shared" ref="D20:V20" si="16">0.1+D21</f>
        <v>0.1</v>
      </c>
      <c r="E20" s="53">
        <f t="shared" si="16"/>
        <v>0.1</v>
      </c>
      <c r="F20" s="53">
        <f t="shared" si="16"/>
        <v>0.1</v>
      </c>
      <c r="G20" s="53">
        <f t="shared" si="16"/>
        <v>0.1</v>
      </c>
      <c r="H20" s="53">
        <f t="shared" si="16"/>
        <v>0.1</v>
      </c>
      <c r="I20" s="53">
        <f t="shared" si="16"/>
        <v>0.1</v>
      </c>
      <c r="J20" s="53">
        <f t="shared" si="16"/>
        <v>0.1</v>
      </c>
      <c r="K20" s="53">
        <f t="shared" si="16"/>
        <v>0.1</v>
      </c>
      <c r="L20" s="53">
        <f t="shared" si="16"/>
        <v>0.1</v>
      </c>
      <c r="M20" s="53">
        <f t="shared" si="16"/>
        <v>0.1</v>
      </c>
      <c r="N20" s="53">
        <f t="shared" si="16"/>
        <v>0.1</v>
      </c>
      <c r="O20" s="53">
        <f t="shared" si="16"/>
        <v>0.1</v>
      </c>
      <c r="P20" s="53">
        <f t="shared" si="16"/>
        <v>0.1</v>
      </c>
      <c r="Q20" s="53">
        <f t="shared" si="16"/>
        <v>0.1</v>
      </c>
      <c r="R20" s="53">
        <f t="shared" si="16"/>
        <v>0.1</v>
      </c>
      <c r="S20" s="53">
        <f t="shared" si="16"/>
        <v>0.1</v>
      </c>
      <c r="T20" s="53">
        <f t="shared" si="16"/>
        <v>0.1</v>
      </c>
      <c r="U20" s="53">
        <f t="shared" si="16"/>
        <v>0.1</v>
      </c>
      <c r="V20" s="53">
        <f t="shared" si="16"/>
        <v>0.1</v>
      </c>
      <c r="W20" s="53">
        <f t="shared" ref="W20:CH20" si="17">0.1+W21</f>
        <v>0.1</v>
      </c>
      <c r="X20" s="53">
        <f t="shared" si="17"/>
        <v>0.1</v>
      </c>
      <c r="Y20" s="53">
        <f t="shared" si="17"/>
        <v>0.1</v>
      </c>
      <c r="Z20" s="53">
        <f t="shared" si="17"/>
        <v>0.1</v>
      </c>
      <c r="AA20" s="53">
        <f t="shared" si="17"/>
        <v>0.1</v>
      </c>
      <c r="AB20" s="53">
        <f t="shared" si="17"/>
        <v>0.1</v>
      </c>
      <c r="AC20" s="53">
        <f t="shared" si="17"/>
        <v>0.1</v>
      </c>
      <c r="AD20" s="53">
        <f t="shared" si="17"/>
        <v>0.1</v>
      </c>
      <c r="AE20" s="53">
        <f t="shared" si="17"/>
        <v>0.1</v>
      </c>
      <c r="AF20" s="53">
        <f t="shared" si="17"/>
        <v>0.1</v>
      </c>
      <c r="AG20" s="53">
        <f t="shared" si="17"/>
        <v>0.1</v>
      </c>
      <c r="AH20" s="55">
        <f t="shared" si="17"/>
        <v>0.1</v>
      </c>
      <c r="AI20" s="52">
        <f t="shared" si="17"/>
        <v>0.1</v>
      </c>
      <c r="AJ20" s="53">
        <f t="shared" si="17"/>
        <v>0.1</v>
      </c>
      <c r="AK20" s="53">
        <f t="shared" si="17"/>
        <v>0.1</v>
      </c>
      <c r="AL20" s="53">
        <f t="shared" si="17"/>
        <v>0.1</v>
      </c>
      <c r="AM20" s="53">
        <f t="shared" si="17"/>
        <v>0.1</v>
      </c>
      <c r="AN20" s="53">
        <f t="shared" si="17"/>
        <v>0.1</v>
      </c>
      <c r="AO20" s="53">
        <f t="shared" si="17"/>
        <v>0.1</v>
      </c>
      <c r="AP20" s="53">
        <f t="shared" si="17"/>
        <v>0.1</v>
      </c>
      <c r="AQ20" s="53">
        <f t="shared" si="17"/>
        <v>0.1</v>
      </c>
      <c r="AR20" s="53">
        <f t="shared" si="17"/>
        <v>0.1</v>
      </c>
      <c r="AS20" s="53">
        <f t="shared" si="17"/>
        <v>0.1</v>
      </c>
      <c r="AT20" s="53">
        <f t="shared" si="17"/>
        <v>0.1</v>
      </c>
      <c r="AU20" s="53">
        <f t="shared" si="17"/>
        <v>0.1</v>
      </c>
      <c r="AV20" s="53">
        <f t="shared" si="17"/>
        <v>0.1</v>
      </c>
      <c r="AW20" s="53">
        <f t="shared" si="17"/>
        <v>0.1</v>
      </c>
      <c r="AX20" s="53">
        <f t="shared" si="17"/>
        <v>0.1</v>
      </c>
      <c r="AY20" s="53">
        <f t="shared" si="17"/>
        <v>0.1</v>
      </c>
      <c r="AZ20" s="53">
        <f t="shared" si="17"/>
        <v>0.1</v>
      </c>
      <c r="BA20" s="53">
        <f t="shared" si="17"/>
        <v>0.1</v>
      </c>
      <c r="BB20" s="53">
        <f t="shared" si="17"/>
        <v>0.1</v>
      </c>
      <c r="BC20" s="53">
        <f t="shared" si="17"/>
        <v>0.1</v>
      </c>
      <c r="BD20" s="53">
        <f t="shared" si="17"/>
        <v>0.1</v>
      </c>
      <c r="BE20" s="53">
        <f t="shared" si="17"/>
        <v>0.1</v>
      </c>
      <c r="BF20" s="53">
        <f t="shared" si="17"/>
        <v>0.1</v>
      </c>
      <c r="BG20" s="53">
        <f t="shared" si="17"/>
        <v>0.1</v>
      </c>
      <c r="BH20" s="53">
        <f t="shared" si="17"/>
        <v>0.1</v>
      </c>
      <c r="BI20" s="53">
        <f t="shared" si="17"/>
        <v>0.1</v>
      </c>
      <c r="BJ20" s="53">
        <f t="shared" si="17"/>
        <v>0.1</v>
      </c>
      <c r="BK20" s="53">
        <f t="shared" si="17"/>
        <v>0.1</v>
      </c>
      <c r="BL20" s="54">
        <f t="shared" si="17"/>
        <v>0.1</v>
      </c>
      <c r="BM20" s="52">
        <f t="shared" si="17"/>
        <v>0.1</v>
      </c>
      <c r="BN20" s="53">
        <f t="shared" si="17"/>
        <v>0.1</v>
      </c>
      <c r="BO20" s="53">
        <f t="shared" si="17"/>
        <v>0.1</v>
      </c>
      <c r="BP20" s="53">
        <f t="shared" si="17"/>
        <v>0.1</v>
      </c>
      <c r="BQ20" s="53">
        <f t="shared" si="17"/>
        <v>0.1</v>
      </c>
      <c r="BR20" s="53">
        <f t="shared" si="17"/>
        <v>0.1</v>
      </c>
      <c r="BS20" s="53">
        <f t="shared" si="17"/>
        <v>0.1</v>
      </c>
      <c r="BT20" s="53">
        <f t="shared" si="17"/>
        <v>0.1</v>
      </c>
      <c r="BU20" s="53">
        <f t="shared" si="17"/>
        <v>0.1</v>
      </c>
      <c r="BV20" s="53">
        <f t="shared" si="17"/>
        <v>0.1</v>
      </c>
      <c r="BW20" s="53">
        <f t="shared" si="17"/>
        <v>0.1</v>
      </c>
      <c r="BX20" s="53">
        <f t="shared" si="17"/>
        <v>0.1</v>
      </c>
      <c r="BY20" s="53">
        <f t="shared" si="17"/>
        <v>0.1</v>
      </c>
      <c r="BZ20" s="53">
        <f t="shared" si="17"/>
        <v>0.1</v>
      </c>
      <c r="CA20" s="53">
        <f t="shared" si="17"/>
        <v>0.1</v>
      </c>
      <c r="CB20" s="53">
        <f t="shared" si="17"/>
        <v>0.1</v>
      </c>
      <c r="CC20" s="53">
        <f t="shared" si="17"/>
        <v>0.1</v>
      </c>
      <c r="CD20" s="53">
        <f t="shared" si="17"/>
        <v>0.1</v>
      </c>
      <c r="CE20" s="53">
        <f t="shared" si="17"/>
        <v>0.1</v>
      </c>
      <c r="CF20" s="53">
        <f t="shared" si="17"/>
        <v>0.1</v>
      </c>
      <c r="CG20" s="53">
        <f t="shared" si="17"/>
        <v>0.1</v>
      </c>
      <c r="CH20" s="53">
        <f t="shared" si="17"/>
        <v>0.1</v>
      </c>
      <c r="CI20" s="53">
        <f t="shared" ref="CI20:CQ20" si="18">0.1+CI21</f>
        <v>0.1</v>
      </c>
      <c r="CJ20" s="53">
        <f t="shared" si="18"/>
        <v>0.1</v>
      </c>
      <c r="CK20" s="53">
        <f t="shared" si="18"/>
        <v>0.1</v>
      </c>
      <c r="CL20" s="53">
        <f t="shared" si="18"/>
        <v>0.1</v>
      </c>
      <c r="CM20" s="53">
        <f t="shared" si="18"/>
        <v>0.1</v>
      </c>
      <c r="CN20" s="53">
        <f t="shared" si="18"/>
        <v>0.1</v>
      </c>
      <c r="CO20" s="53">
        <f t="shared" si="18"/>
        <v>0.1</v>
      </c>
      <c r="CP20" s="53">
        <f t="shared" si="18"/>
        <v>0.1</v>
      </c>
      <c r="CQ20" s="54">
        <f t="shared" si="18"/>
        <v>0.1</v>
      </c>
    </row>
    <row r="21" spans="1:95" x14ac:dyDescent="0.35">
      <c r="A21" s="206"/>
      <c r="B21" s="6" t="s">
        <v>17</v>
      </c>
      <c r="C21" s="208"/>
      <c r="D21" s="48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51"/>
      <c r="AI21" s="48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50"/>
      <c r="BM21" s="48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50"/>
    </row>
    <row r="22" spans="1:95" x14ac:dyDescent="0.35">
      <c r="A22" s="205" t="s">
        <v>23</v>
      </c>
      <c r="B22" s="6" t="s">
        <v>16</v>
      </c>
      <c r="C22" s="208"/>
      <c r="D22" s="52">
        <f t="shared" ref="D22:V22" si="19">0.3+D23</f>
        <v>0.3</v>
      </c>
      <c r="E22" s="53">
        <f t="shared" si="19"/>
        <v>0.3</v>
      </c>
      <c r="F22" s="53">
        <f t="shared" si="19"/>
        <v>0.3</v>
      </c>
      <c r="G22" s="53">
        <f t="shared" si="19"/>
        <v>0.3</v>
      </c>
      <c r="H22" s="53">
        <f t="shared" si="19"/>
        <v>0.3</v>
      </c>
      <c r="I22" s="53">
        <f t="shared" si="19"/>
        <v>0.3</v>
      </c>
      <c r="J22" s="53">
        <f t="shared" si="19"/>
        <v>0.3</v>
      </c>
      <c r="K22" s="53">
        <f t="shared" si="19"/>
        <v>0.3</v>
      </c>
      <c r="L22" s="53">
        <f t="shared" si="19"/>
        <v>0.3</v>
      </c>
      <c r="M22" s="53">
        <f t="shared" si="19"/>
        <v>0.3</v>
      </c>
      <c r="N22" s="53">
        <f t="shared" si="19"/>
        <v>0.3</v>
      </c>
      <c r="O22" s="53">
        <f t="shared" si="19"/>
        <v>0.3</v>
      </c>
      <c r="P22" s="53">
        <f t="shared" si="19"/>
        <v>0.3</v>
      </c>
      <c r="Q22" s="53">
        <f t="shared" si="19"/>
        <v>0.3</v>
      </c>
      <c r="R22" s="53">
        <f t="shared" si="19"/>
        <v>0.3</v>
      </c>
      <c r="S22" s="53">
        <f t="shared" si="19"/>
        <v>0.3</v>
      </c>
      <c r="T22" s="53">
        <f t="shared" si="19"/>
        <v>0.3</v>
      </c>
      <c r="U22" s="53">
        <f t="shared" si="19"/>
        <v>0.3</v>
      </c>
      <c r="V22" s="53">
        <f t="shared" si="19"/>
        <v>0.3</v>
      </c>
      <c r="W22" s="53">
        <f t="shared" ref="W22:CH22" si="20">0.3+W23</f>
        <v>0.3</v>
      </c>
      <c r="X22" s="53">
        <f t="shared" si="20"/>
        <v>0.3</v>
      </c>
      <c r="Y22" s="53">
        <f t="shared" si="20"/>
        <v>0.3</v>
      </c>
      <c r="Z22" s="53">
        <f t="shared" si="20"/>
        <v>0.3</v>
      </c>
      <c r="AA22" s="53">
        <f t="shared" si="20"/>
        <v>0.3</v>
      </c>
      <c r="AB22" s="53">
        <f t="shared" si="20"/>
        <v>0.3</v>
      </c>
      <c r="AC22" s="53">
        <f t="shared" si="20"/>
        <v>0.3</v>
      </c>
      <c r="AD22" s="53">
        <f t="shared" si="20"/>
        <v>0.3</v>
      </c>
      <c r="AE22" s="53">
        <f t="shared" si="20"/>
        <v>0.3</v>
      </c>
      <c r="AF22" s="53">
        <f t="shared" si="20"/>
        <v>0.3</v>
      </c>
      <c r="AG22" s="53">
        <f t="shared" si="20"/>
        <v>0.3</v>
      </c>
      <c r="AH22" s="55">
        <f t="shared" si="20"/>
        <v>0.3</v>
      </c>
      <c r="AI22" s="52">
        <f t="shared" si="20"/>
        <v>0.3</v>
      </c>
      <c r="AJ22" s="53">
        <f t="shared" si="20"/>
        <v>0.3</v>
      </c>
      <c r="AK22" s="53">
        <f t="shared" si="20"/>
        <v>0.3</v>
      </c>
      <c r="AL22" s="53">
        <f t="shared" si="20"/>
        <v>0.3</v>
      </c>
      <c r="AM22" s="53">
        <f t="shared" si="20"/>
        <v>0.3</v>
      </c>
      <c r="AN22" s="53">
        <f t="shared" si="20"/>
        <v>0.3</v>
      </c>
      <c r="AO22" s="53">
        <f t="shared" si="20"/>
        <v>0.3</v>
      </c>
      <c r="AP22" s="53">
        <f t="shared" si="20"/>
        <v>0.3</v>
      </c>
      <c r="AQ22" s="53">
        <f t="shared" si="20"/>
        <v>0.3</v>
      </c>
      <c r="AR22" s="53">
        <f t="shared" si="20"/>
        <v>0.3</v>
      </c>
      <c r="AS22" s="53">
        <f t="shared" si="20"/>
        <v>0.3</v>
      </c>
      <c r="AT22" s="53">
        <f t="shared" si="20"/>
        <v>0.3</v>
      </c>
      <c r="AU22" s="53">
        <f t="shared" si="20"/>
        <v>0.3</v>
      </c>
      <c r="AV22" s="53">
        <f t="shared" si="20"/>
        <v>0.3</v>
      </c>
      <c r="AW22" s="53">
        <f t="shared" si="20"/>
        <v>0.3</v>
      </c>
      <c r="AX22" s="53">
        <f t="shared" si="20"/>
        <v>0.3</v>
      </c>
      <c r="AY22" s="53">
        <f t="shared" si="20"/>
        <v>0.3</v>
      </c>
      <c r="AZ22" s="53">
        <f t="shared" si="20"/>
        <v>0.3</v>
      </c>
      <c r="BA22" s="53">
        <f t="shared" si="20"/>
        <v>0.3</v>
      </c>
      <c r="BB22" s="53">
        <f t="shared" si="20"/>
        <v>0.3</v>
      </c>
      <c r="BC22" s="53">
        <f t="shared" si="20"/>
        <v>0.3</v>
      </c>
      <c r="BD22" s="53">
        <f t="shared" si="20"/>
        <v>0.3</v>
      </c>
      <c r="BE22" s="53">
        <f t="shared" si="20"/>
        <v>0.3</v>
      </c>
      <c r="BF22" s="53">
        <f t="shared" si="20"/>
        <v>0.3</v>
      </c>
      <c r="BG22" s="53">
        <f t="shared" si="20"/>
        <v>0.3</v>
      </c>
      <c r="BH22" s="53">
        <f t="shared" si="20"/>
        <v>0.3</v>
      </c>
      <c r="BI22" s="53">
        <f t="shared" si="20"/>
        <v>0.3</v>
      </c>
      <c r="BJ22" s="53">
        <f t="shared" si="20"/>
        <v>0.3</v>
      </c>
      <c r="BK22" s="53">
        <f t="shared" si="20"/>
        <v>0.3</v>
      </c>
      <c r="BL22" s="54">
        <f t="shared" si="20"/>
        <v>0.3</v>
      </c>
      <c r="BM22" s="52">
        <f t="shared" si="20"/>
        <v>0.3</v>
      </c>
      <c r="BN22" s="53">
        <f t="shared" si="20"/>
        <v>0.3</v>
      </c>
      <c r="BO22" s="53">
        <f t="shared" si="20"/>
        <v>0.3</v>
      </c>
      <c r="BP22" s="53">
        <f t="shared" si="20"/>
        <v>0.3</v>
      </c>
      <c r="BQ22" s="53">
        <f t="shared" si="20"/>
        <v>0.3</v>
      </c>
      <c r="BR22" s="53">
        <f t="shared" si="20"/>
        <v>0.3</v>
      </c>
      <c r="BS22" s="53">
        <f t="shared" si="20"/>
        <v>0.3</v>
      </c>
      <c r="BT22" s="53">
        <f t="shared" si="20"/>
        <v>0.3</v>
      </c>
      <c r="BU22" s="53">
        <f t="shared" si="20"/>
        <v>0.3</v>
      </c>
      <c r="BV22" s="53">
        <f t="shared" si="20"/>
        <v>0.3</v>
      </c>
      <c r="BW22" s="53">
        <f t="shared" si="20"/>
        <v>0.3</v>
      </c>
      <c r="BX22" s="53">
        <f t="shared" si="20"/>
        <v>0.3</v>
      </c>
      <c r="BY22" s="53">
        <f t="shared" si="20"/>
        <v>0.3</v>
      </c>
      <c r="BZ22" s="53">
        <f t="shared" si="20"/>
        <v>0.3</v>
      </c>
      <c r="CA22" s="53">
        <f t="shared" si="20"/>
        <v>0.3</v>
      </c>
      <c r="CB22" s="53">
        <f t="shared" si="20"/>
        <v>0.3</v>
      </c>
      <c r="CC22" s="53">
        <f t="shared" si="20"/>
        <v>0.3</v>
      </c>
      <c r="CD22" s="53">
        <f t="shared" si="20"/>
        <v>0.3</v>
      </c>
      <c r="CE22" s="53">
        <f t="shared" si="20"/>
        <v>0.3</v>
      </c>
      <c r="CF22" s="53">
        <f t="shared" si="20"/>
        <v>0.3</v>
      </c>
      <c r="CG22" s="53">
        <f t="shared" si="20"/>
        <v>0.3</v>
      </c>
      <c r="CH22" s="53">
        <f t="shared" si="20"/>
        <v>0.3</v>
      </c>
      <c r="CI22" s="53">
        <f t="shared" ref="CI22:CQ22" si="21">0.3+CI23</f>
        <v>0.3</v>
      </c>
      <c r="CJ22" s="53">
        <f t="shared" si="21"/>
        <v>0.3</v>
      </c>
      <c r="CK22" s="53">
        <f t="shared" si="21"/>
        <v>0.3</v>
      </c>
      <c r="CL22" s="53">
        <f t="shared" si="21"/>
        <v>0.3</v>
      </c>
      <c r="CM22" s="53">
        <f t="shared" si="21"/>
        <v>0.3</v>
      </c>
      <c r="CN22" s="53">
        <f t="shared" si="21"/>
        <v>0.3</v>
      </c>
      <c r="CO22" s="53">
        <f t="shared" si="21"/>
        <v>0.3</v>
      </c>
      <c r="CP22" s="53">
        <f t="shared" si="21"/>
        <v>0.3</v>
      </c>
      <c r="CQ22" s="54">
        <f t="shared" si="21"/>
        <v>0.3</v>
      </c>
    </row>
    <row r="23" spans="1:95" ht="15" thickBot="1" x14ac:dyDescent="0.4">
      <c r="A23" s="206"/>
      <c r="B23" s="6" t="s">
        <v>17</v>
      </c>
      <c r="C23" s="208"/>
      <c r="D23" s="48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51"/>
      <c r="AI23" s="48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50"/>
      <c r="BM23" s="48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50"/>
    </row>
    <row r="24" spans="1:95" ht="15" hidden="1" thickBot="1" x14ac:dyDescent="0.4">
      <c r="C24" s="209"/>
      <c r="AI24" s="157"/>
      <c r="BL24" s="158"/>
      <c r="BM24" s="157"/>
      <c r="CQ24" s="158"/>
    </row>
    <row r="25" spans="1:95" ht="15" hidden="1" thickBot="1" x14ac:dyDescent="0.4">
      <c r="C25" s="209"/>
      <c r="AI25" s="157"/>
      <c r="BL25" s="158"/>
      <c r="BM25" s="157"/>
      <c r="CQ25" s="158"/>
    </row>
    <row r="26" spans="1:95" x14ac:dyDescent="0.35">
      <c r="A26" s="8" t="s">
        <v>24</v>
      </c>
      <c r="B26" s="9"/>
      <c r="C26" s="208"/>
      <c r="D26" s="73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6"/>
      <c r="AI26" s="73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5"/>
      <c r="BM26" s="73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5"/>
    </row>
    <row r="27" spans="1:95" x14ac:dyDescent="0.35">
      <c r="A27" s="10" t="s">
        <v>25</v>
      </c>
      <c r="B27" s="11"/>
      <c r="C27" s="208"/>
      <c r="D27" s="129">
        <v>1.8</v>
      </c>
      <c r="E27" s="126">
        <f t="shared" ref="E27" si="22">+D27</f>
        <v>1.8</v>
      </c>
      <c r="F27" s="126">
        <f t="shared" ref="F27" si="23">+E27</f>
        <v>1.8</v>
      </c>
      <c r="G27" s="126">
        <f t="shared" ref="G27" si="24">+F27</f>
        <v>1.8</v>
      </c>
      <c r="H27" s="126">
        <f t="shared" ref="H27" si="25">+G27</f>
        <v>1.8</v>
      </c>
      <c r="I27" s="126">
        <f t="shared" ref="I27" si="26">+H27</f>
        <v>1.8</v>
      </c>
      <c r="J27" s="126">
        <f t="shared" ref="J27" si="27">+I27</f>
        <v>1.8</v>
      </c>
      <c r="K27" s="126">
        <f t="shared" ref="K27" si="28">+J27</f>
        <v>1.8</v>
      </c>
      <c r="L27" s="126">
        <f t="shared" ref="L27" si="29">+K27</f>
        <v>1.8</v>
      </c>
      <c r="M27" s="126">
        <f t="shared" ref="M27" si="30">+L27</f>
        <v>1.8</v>
      </c>
      <c r="N27" s="126">
        <f t="shared" ref="N27" si="31">+M27</f>
        <v>1.8</v>
      </c>
      <c r="O27" s="126">
        <f t="shared" ref="O27" si="32">+N27</f>
        <v>1.8</v>
      </c>
      <c r="P27" s="126">
        <f t="shared" ref="P27" si="33">+O27</f>
        <v>1.8</v>
      </c>
      <c r="Q27" s="126">
        <f t="shared" ref="Q27" si="34">+P27</f>
        <v>1.8</v>
      </c>
      <c r="R27" s="126">
        <f t="shared" ref="R27" si="35">+Q27</f>
        <v>1.8</v>
      </c>
      <c r="S27" s="126">
        <f t="shared" ref="S27" si="36">+R27</f>
        <v>1.8</v>
      </c>
      <c r="T27" s="126">
        <f t="shared" ref="T27" si="37">+S27</f>
        <v>1.8</v>
      </c>
      <c r="U27" s="126">
        <f t="shared" ref="U27" si="38">+T27</f>
        <v>1.8</v>
      </c>
      <c r="V27" s="126">
        <f t="shared" ref="V27" si="39">+U27</f>
        <v>1.8</v>
      </c>
      <c r="W27" s="126">
        <f t="shared" ref="W27" si="40">+V27</f>
        <v>1.8</v>
      </c>
      <c r="X27" s="126">
        <f t="shared" ref="X27" si="41">+W27</f>
        <v>1.8</v>
      </c>
      <c r="Y27" s="126">
        <f t="shared" ref="Y27" si="42">+X27</f>
        <v>1.8</v>
      </c>
      <c r="Z27" s="126">
        <f t="shared" ref="Z27" si="43">+Y27</f>
        <v>1.8</v>
      </c>
      <c r="AA27" s="126">
        <f t="shared" ref="AA27" si="44">+Z27</f>
        <v>1.8</v>
      </c>
      <c r="AB27" s="126">
        <f t="shared" ref="AB27" si="45">+AA27</f>
        <v>1.8</v>
      </c>
      <c r="AC27" s="126">
        <f t="shared" ref="AC27" si="46">+AB27</f>
        <v>1.8</v>
      </c>
      <c r="AD27" s="126">
        <f t="shared" ref="AD27" si="47">+AC27</f>
        <v>1.8</v>
      </c>
      <c r="AE27" s="126">
        <f t="shared" ref="AE27" si="48">+AD27</f>
        <v>1.8</v>
      </c>
      <c r="AF27" s="126">
        <f t="shared" ref="AF27" si="49">+AE27</f>
        <v>1.8</v>
      </c>
      <c r="AG27" s="126">
        <f t="shared" ref="AG27" si="50">+AF27</f>
        <v>1.8</v>
      </c>
      <c r="AH27" s="128">
        <f t="shared" ref="AH27" si="51">+AG27</f>
        <v>1.8</v>
      </c>
      <c r="AI27" s="129">
        <f t="shared" ref="AI27" si="52">+AH27</f>
        <v>1.8</v>
      </c>
      <c r="AJ27" s="126">
        <f t="shared" ref="AJ27" si="53">+AI27</f>
        <v>1.8</v>
      </c>
      <c r="AK27" s="126">
        <f t="shared" ref="AK27" si="54">+AJ27</f>
        <v>1.8</v>
      </c>
      <c r="AL27" s="126">
        <f t="shared" ref="AL27" si="55">+AK27</f>
        <v>1.8</v>
      </c>
      <c r="AM27" s="126">
        <f t="shared" ref="AM27" si="56">+AL27</f>
        <v>1.8</v>
      </c>
      <c r="AN27" s="126">
        <f t="shared" ref="AN27" si="57">+AM27</f>
        <v>1.8</v>
      </c>
      <c r="AO27" s="126">
        <f t="shared" ref="AO27" si="58">+AN27</f>
        <v>1.8</v>
      </c>
      <c r="AP27" s="126">
        <f t="shared" ref="AP27" si="59">+AO27</f>
        <v>1.8</v>
      </c>
      <c r="AQ27" s="126">
        <f t="shared" ref="AQ27" si="60">+AP27</f>
        <v>1.8</v>
      </c>
      <c r="AR27" s="126">
        <f t="shared" ref="AR27" si="61">+AQ27</f>
        <v>1.8</v>
      </c>
      <c r="AS27" s="126">
        <f t="shared" ref="AS27" si="62">+AR27</f>
        <v>1.8</v>
      </c>
      <c r="AT27" s="126">
        <f t="shared" ref="AT27" si="63">+AS27</f>
        <v>1.8</v>
      </c>
      <c r="AU27" s="126">
        <f t="shared" ref="AU27" si="64">+AT27</f>
        <v>1.8</v>
      </c>
      <c r="AV27" s="126">
        <f t="shared" ref="AV27" si="65">+AU27</f>
        <v>1.8</v>
      </c>
      <c r="AW27" s="126">
        <f t="shared" ref="AW27" si="66">+AV27</f>
        <v>1.8</v>
      </c>
      <c r="AX27" s="126">
        <f t="shared" ref="AX27" si="67">+AW27</f>
        <v>1.8</v>
      </c>
      <c r="AY27" s="126">
        <f t="shared" ref="AY27" si="68">+AX27</f>
        <v>1.8</v>
      </c>
      <c r="AZ27" s="126">
        <f t="shared" ref="AZ27" si="69">+AY27</f>
        <v>1.8</v>
      </c>
      <c r="BA27" s="126">
        <f t="shared" ref="BA27" si="70">+AZ27</f>
        <v>1.8</v>
      </c>
      <c r="BB27" s="126">
        <f t="shared" ref="BB27" si="71">+BA27</f>
        <v>1.8</v>
      </c>
      <c r="BC27" s="126">
        <f t="shared" ref="BC27" si="72">+BB27</f>
        <v>1.8</v>
      </c>
      <c r="BD27" s="126">
        <f t="shared" ref="BD27" si="73">+BC27</f>
        <v>1.8</v>
      </c>
      <c r="BE27" s="126">
        <f t="shared" ref="BE27" si="74">+BD27</f>
        <v>1.8</v>
      </c>
      <c r="BF27" s="126">
        <f t="shared" ref="BF27" si="75">+BE27</f>
        <v>1.8</v>
      </c>
      <c r="BG27" s="126">
        <f t="shared" ref="BG27" si="76">+BF27</f>
        <v>1.8</v>
      </c>
      <c r="BH27" s="126">
        <f t="shared" ref="BH27" si="77">+BG27</f>
        <v>1.8</v>
      </c>
      <c r="BI27" s="126">
        <f t="shared" ref="BI27" si="78">+BH27</f>
        <v>1.8</v>
      </c>
      <c r="BJ27" s="126">
        <f t="shared" ref="BJ27" si="79">+BI27</f>
        <v>1.8</v>
      </c>
      <c r="BK27" s="126">
        <f t="shared" ref="BK27" si="80">+BJ27</f>
        <v>1.8</v>
      </c>
      <c r="BL27" s="130">
        <f t="shared" ref="BL27" si="81">+BK27</f>
        <v>1.8</v>
      </c>
      <c r="BM27" s="129">
        <f t="shared" ref="BM27" si="82">+BL27</f>
        <v>1.8</v>
      </c>
      <c r="BN27" s="126">
        <f t="shared" ref="BN27" si="83">+BM27</f>
        <v>1.8</v>
      </c>
      <c r="BO27" s="126">
        <f t="shared" ref="BO27" si="84">+BN27</f>
        <v>1.8</v>
      </c>
      <c r="BP27" s="126">
        <f t="shared" ref="BP27" si="85">+BO27</f>
        <v>1.8</v>
      </c>
      <c r="BQ27" s="126">
        <f t="shared" ref="BQ27" si="86">+BP27</f>
        <v>1.8</v>
      </c>
      <c r="BR27" s="126">
        <f t="shared" ref="BR27" si="87">+BQ27</f>
        <v>1.8</v>
      </c>
      <c r="BS27" s="126">
        <f t="shared" ref="BS27" si="88">+BR27</f>
        <v>1.8</v>
      </c>
      <c r="BT27" s="126">
        <f t="shared" ref="BT27" si="89">+BS27</f>
        <v>1.8</v>
      </c>
      <c r="BU27" s="126">
        <f t="shared" ref="BU27" si="90">+BT27</f>
        <v>1.8</v>
      </c>
      <c r="BV27" s="126">
        <f t="shared" ref="BV27" si="91">+BU27</f>
        <v>1.8</v>
      </c>
      <c r="BW27" s="126">
        <f t="shared" ref="BW27" si="92">+BV27</f>
        <v>1.8</v>
      </c>
      <c r="BX27" s="126">
        <f t="shared" ref="BX27" si="93">+BW27</f>
        <v>1.8</v>
      </c>
      <c r="BY27" s="126">
        <f t="shared" ref="BY27" si="94">+BX27</f>
        <v>1.8</v>
      </c>
      <c r="BZ27" s="126">
        <f t="shared" ref="BZ27" si="95">+BY27</f>
        <v>1.8</v>
      </c>
      <c r="CA27" s="126">
        <f t="shared" ref="CA27" si="96">+BZ27</f>
        <v>1.8</v>
      </c>
      <c r="CB27" s="126">
        <f t="shared" ref="CB27" si="97">+CA27</f>
        <v>1.8</v>
      </c>
      <c r="CC27" s="126">
        <f t="shared" ref="CC27" si="98">+CB27</f>
        <v>1.8</v>
      </c>
      <c r="CD27" s="126">
        <f t="shared" ref="CD27" si="99">+CC27</f>
        <v>1.8</v>
      </c>
      <c r="CE27" s="126">
        <f t="shared" ref="CE27" si="100">+CD27</f>
        <v>1.8</v>
      </c>
      <c r="CF27" s="126">
        <f t="shared" ref="CF27" si="101">+CE27</f>
        <v>1.8</v>
      </c>
      <c r="CG27" s="126">
        <f t="shared" ref="CG27" si="102">+CF27</f>
        <v>1.8</v>
      </c>
      <c r="CH27" s="126">
        <f t="shared" ref="CH27" si="103">+CG27</f>
        <v>1.8</v>
      </c>
      <c r="CI27" s="126">
        <f t="shared" ref="CI27" si="104">+CH27</f>
        <v>1.8</v>
      </c>
      <c r="CJ27" s="126">
        <f t="shared" ref="CJ27" si="105">+CI27</f>
        <v>1.8</v>
      </c>
      <c r="CK27" s="126">
        <f t="shared" ref="CK27" si="106">+CJ27</f>
        <v>1.8</v>
      </c>
      <c r="CL27" s="126">
        <f t="shared" ref="CL27" si="107">+CK27</f>
        <v>1.8</v>
      </c>
      <c r="CM27" s="126">
        <f t="shared" ref="CM27" si="108">+CL27</f>
        <v>1.8</v>
      </c>
      <c r="CN27" s="126">
        <f t="shared" ref="CN27" si="109">+CM27</f>
        <v>1.8</v>
      </c>
      <c r="CO27" s="126">
        <f t="shared" ref="CO27" si="110">+CN27</f>
        <v>1.8</v>
      </c>
      <c r="CP27" s="126">
        <f t="shared" ref="CP27" si="111">+CO27</f>
        <v>1.8</v>
      </c>
      <c r="CQ27" s="130">
        <f t="shared" ref="CQ27" si="112">+CP27</f>
        <v>1.8</v>
      </c>
    </row>
    <row r="28" spans="1:95" x14ac:dyDescent="0.35">
      <c r="A28" s="10" t="s">
        <v>26</v>
      </c>
      <c r="B28" s="12"/>
      <c r="C28" s="208"/>
      <c r="D28" s="78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81"/>
      <c r="AI28" s="78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80"/>
      <c r="BM28" s="78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80"/>
    </row>
    <row r="29" spans="1:95" ht="15" thickBot="1" x14ac:dyDescent="0.4">
      <c r="A29" s="13" t="s">
        <v>27</v>
      </c>
      <c r="B29" s="14"/>
      <c r="C29" s="208"/>
      <c r="D29" s="82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5"/>
      <c r="AI29" s="82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  <c r="BM29" s="82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4"/>
    </row>
    <row r="30" spans="1:95" ht="15" thickBot="1" x14ac:dyDescent="0.4">
      <c r="A30" s="15" t="s">
        <v>28</v>
      </c>
      <c r="B30" s="16"/>
      <c r="C30" s="208"/>
      <c r="D30" s="88">
        <f t="shared" ref="D30:V30" si="113">+D5+D7</f>
        <v>0</v>
      </c>
      <c r="E30" s="89">
        <f t="shared" si="113"/>
        <v>0</v>
      </c>
      <c r="F30" s="89">
        <f t="shared" si="113"/>
        <v>0</v>
      </c>
      <c r="G30" s="89">
        <f t="shared" si="113"/>
        <v>0</v>
      </c>
      <c r="H30" s="89">
        <f t="shared" si="113"/>
        <v>0</v>
      </c>
      <c r="I30" s="89">
        <f t="shared" si="113"/>
        <v>0</v>
      </c>
      <c r="J30" s="89">
        <f t="shared" si="113"/>
        <v>0</v>
      </c>
      <c r="K30" s="89">
        <f t="shared" si="113"/>
        <v>0</v>
      </c>
      <c r="L30" s="89">
        <f t="shared" si="113"/>
        <v>0</v>
      </c>
      <c r="M30" s="89">
        <f t="shared" si="113"/>
        <v>0</v>
      </c>
      <c r="N30" s="89">
        <f t="shared" si="113"/>
        <v>0</v>
      </c>
      <c r="O30" s="89">
        <f t="shared" si="113"/>
        <v>0</v>
      </c>
      <c r="P30" s="89">
        <f t="shared" si="113"/>
        <v>0</v>
      </c>
      <c r="Q30" s="89">
        <f t="shared" si="113"/>
        <v>0</v>
      </c>
      <c r="R30" s="89">
        <f t="shared" si="113"/>
        <v>0</v>
      </c>
      <c r="S30" s="89">
        <f t="shared" si="113"/>
        <v>0</v>
      </c>
      <c r="T30" s="89">
        <f t="shared" si="113"/>
        <v>0</v>
      </c>
      <c r="U30" s="89">
        <f t="shared" si="113"/>
        <v>0</v>
      </c>
      <c r="V30" s="89">
        <f t="shared" si="113"/>
        <v>0</v>
      </c>
      <c r="W30" s="89">
        <f t="shared" ref="W30:CH30" si="114">+W5+W7</f>
        <v>0</v>
      </c>
      <c r="X30" s="89">
        <f t="shared" si="114"/>
        <v>0</v>
      </c>
      <c r="Y30" s="89">
        <f t="shared" si="114"/>
        <v>0</v>
      </c>
      <c r="Z30" s="89">
        <f t="shared" si="114"/>
        <v>0</v>
      </c>
      <c r="AA30" s="89">
        <f t="shared" si="114"/>
        <v>0</v>
      </c>
      <c r="AB30" s="89">
        <f t="shared" si="114"/>
        <v>0</v>
      </c>
      <c r="AC30" s="89">
        <f t="shared" si="114"/>
        <v>0</v>
      </c>
      <c r="AD30" s="89">
        <f t="shared" si="114"/>
        <v>0</v>
      </c>
      <c r="AE30" s="89">
        <f t="shared" si="114"/>
        <v>0</v>
      </c>
      <c r="AF30" s="89">
        <f t="shared" si="114"/>
        <v>0</v>
      </c>
      <c r="AG30" s="89">
        <f t="shared" si="114"/>
        <v>0</v>
      </c>
      <c r="AH30" s="86">
        <f t="shared" si="114"/>
        <v>0</v>
      </c>
      <c r="AI30" s="88">
        <f t="shared" si="114"/>
        <v>0</v>
      </c>
      <c r="AJ30" s="89">
        <f t="shared" si="114"/>
        <v>0</v>
      </c>
      <c r="AK30" s="89">
        <f t="shared" si="114"/>
        <v>0</v>
      </c>
      <c r="AL30" s="89">
        <f t="shared" si="114"/>
        <v>0</v>
      </c>
      <c r="AM30" s="89">
        <f t="shared" si="114"/>
        <v>0</v>
      </c>
      <c r="AN30" s="89">
        <f t="shared" si="114"/>
        <v>0</v>
      </c>
      <c r="AO30" s="89">
        <f t="shared" si="114"/>
        <v>0</v>
      </c>
      <c r="AP30" s="89">
        <f t="shared" si="114"/>
        <v>0</v>
      </c>
      <c r="AQ30" s="89">
        <f t="shared" si="114"/>
        <v>0</v>
      </c>
      <c r="AR30" s="89">
        <f t="shared" si="114"/>
        <v>0</v>
      </c>
      <c r="AS30" s="89">
        <f t="shared" si="114"/>
        <v>0</v>
      </c>
      <c r="AT30" s="89">
        <f t="shared" si="114"/>
        <v>0</v>
      </c>
      <c r="AU30" s="89">
        <f t="shared" si="114"/>
        <v>0</v>
      </c>
      <c r="AV30" s="89">
        <f t="shared" si="114"/>
        <v>0</v>
      </c>
      <c r="AW30" s="89">
        <f t="shared" si="114"/>
        <v>0</v>
      </c>
      <c r="AX30" s="89">
        <f t="shared" si="114"/>
        <v>0</v>
      </c>
      <c r="AY30" s="89">
        <f t="shared" si="114"/>
        <v>0</v>
      </c>
      <c r="AZ30" s="89">
        <f t="shared" si="114"/>
        <v>0</v>
      </c>
      <c r="BA30" s="89">
        <f t="shared" si="114"/>
        <v>0</v>
      </c>
      <c r="BB30" s="89">
        <f t="shared" si="114"/>
        <v>0</v>
      </c>
      <c r="BC30" s="89">
        <f t="shared" si="114"/>
        <v>0</v>
      </c>
      <c r="BD30" s="89">
        <f t="shared" si="114"/>
        <v>0</v>
      </c>
      <c r="BE30" s="89">
        <f t="shared" si="114"/>
        <v>0</v>
      </c>
      <c r="BF30" s="89">
        <f t="shared" si="114"/>
        <v>0</v>
      </c>
      <c r="BG30" s="89">
        <f t="shared" si="114"/>
        <v>0</v>
      </c>
      <c r="BH30" s="89">
        <f t="shared" si="114"/>
        <v>0</v>
      </c>
      <c r="BI30" s="89">
        <f t="shared" si="114"/>
        <v>0</v>
      </c>
      <c r="BJ30" s="89">
        <f t="shared" si="114"/>
        <v>0</v>
      </c>
      <c r="BK30" s="89">
        <f t="shared" si="114"/>
        <v>0</v>
      </c>
      <c r="BL30" s="87">
        <f t="shared" si="114"/>
        <v>0</v>
      </c>
      <c r="BM30" s="88">
        <f t="shared" si="114"/>
        <v>0</v>
      </c>
      <c r="BN30" s="89">
        <f t="shared" si="114"/>
        <v>0</v>
      </c>
      <c r="BO30" s="89">
        <f t="shared" si="114"/>
        <v>0</v>
      </c>
      <c r="BP30" s="89">
        <f t="shared" si="114"/>
        <v>0</v>
      </c>
      <c r="BQ30" s="89">
        <f t="shared" si="114"/>
        <v>0</v>
      </c>
      <c r="BR30" s="89">
        <f t="shared" si="114"/>
        <v>0</v>
      </c>
      <c r="BS30" s="89">
        <f t="shared" si="114"/>
        <v>0</v>
      </c>
      <c r="BT30" s="89">
        <f t="shared" si="114"/>
        <v>0</v>
      </c>
      <c r="BU30" s="89">
        <f t="shared" si="114"/>
        <v>0</v>
      </c>
      <c r="BV30" s="89">
        <f t="shared" si="114"/>
        <v>0</v>
      </c>
      <c r="BW30" s="89">
        <f t="shared" si="114"/>
        <v>0</v>
      </c>
      <c r="BX30" s="89">
        <f t="shared" si="114"/>
        <v>0</v>
      </c>
      <c r="BY30" s="89">
        <f t="shared" si="114"/>
        <v>0</v>
      </c>
      <c r="BZ30" s="89">
        <f t="shared" si="114"/>
        <v>0</v>
      </c>
      <c r="CA30" s="89">
        <f t="shared" si="114"/>
        <v>0</v>
      </c>
      <c r="CB30" s="89">
        <f t="shared" si="114"/>
        <v>0</v>
      </c>
      <c r="CC30" s="89">
        <f t="shared" si="114"/>
        <v>0</v>
      </c>
      <c r="CD30" s="89">
        <f t="shared" si="114"/>
        <v>0</v>
      </c>
      <c r="CE30" s="89">
        <f t="shared" si="114"/>
        <v>0</v>
      </c>
      <c r="CF30" s="89">
        <f t="shared" si="114"/>
        <v>0</v>
      </c>
      <c r="CG30" s="89">
        <f t="shared" si="114"/>
        <v>0</v>
      </c>
      <c r="CH30" s="89">
        <f t="shared" si="114"/>
        <v>0</v>
      </c>
      <c r="CI30" s="89">
        <f t="shared" ref="CI30:CQ30" si="115">+CI5+CI7</f>
        <v>0</v>
      </c>
      <c r="CJ30" s="89">
        <f t="shared" si="115"/>
        <v>0</v>
      </c>
      <c r="CK30" s="89">
        <f t="shared" si="115"/>
        <v>0</v>
      </c>
      <c r="CL30" s="89">
        <f t="shared" si="115"/>
        <v>0</v>
      </c>
      <c r="CM30" s="89">
        <f t="shared" si="115"/>
        <v>0</v>
      </c>
      <c r="CN30" s="89">
        <f t="shared" si="115"/>
        <v>0</v>
      </c>
      <c r="CO30" s="89">
        <f t="shared" si="115"/>
        <v>0</v>
      </c>
      <c r="CP30" s="89">
        <f t="shared" si="115"/>
        <v>0</v>
      </c>
      <c r="CQ30" s="87">
        <f t="shared" si="115"/>
        <v>0</v>
      </c>
    </row>
    <row r="31" spans="1:95" ht="15" thickBot="1" x14ac:dyDescent="0.4">
      <c r="A31" s="15" t="s">
        <v>29</v>
      </c>
      <c r="B31" s="17"/>
      <c r="C31" s="208"/>
      <c r="D31" s="92">
        <f t="shared" ref="D31:V31" si="116">+D11+D13+D15+D17+D19+D21+D23+D25+D29</f>
        <v>0</v>
      </c>
      <c r="E31" s="93">
        <f t="shared" si="116"/>
        <v>0</v>
      </c>
      <c r="F31" s="93">
        <f t="shared" si="116"/>
        <v>0</v>
      </c>
      <c r="G31" s="93">
        <f t="shared" si="116"/>
        <v>0</v>
      </c>
      <c r="H31" s="93">
        <f t="shared" si="116"/>
        <v>0</v>
      </c>
      <c r="I31" s="93">
        <f t="shared" si="116"/>
        <v>0</v>
      </c>
      <c r="J31" s="93">
        <f t="shared" si="116"/>
        <v>0</v>
      </c>
      <c r="K31" s="93">
        <f t="shared" si="116"/>
        <v>0</v>
      </c>
      <c r="L31" s="93">
        <f t="shared" si="116"/>
        <v>0</v>
      </c>
      <c r="M31" s="93">
        <f t="shared" si="116"/>
        <v>0</v>
      </c>
      <c r="N31" s="93">
        <f t="shared" si="116"/>
        <v>0</v>
      </c>
      <c r="O31" s="93">
        <f t="shared" si="116"/>
        <v>0</v>
      </c>
      <c r="P31" s="93">
        <f t="shared" si="116"/>
        <v>0</v>
      </c>
      <c r="Q31" s="93">
        <f t="shared" si="116"/>
        <v>0</v>
      </c>
      <c r="R31" s="93">
        <f t="shared" si="116"/>
        <v>0</v>
      </c>
      <c r="S31" s="93">
        <f t="shared" si="116"/>
        <v>0</v>
      </c>
      <c r="T31" s="93">
        <f t="shared" si="116"/>
        <v>0</v>
      </c>
      <c r="U31" s="93">
        <f t="shared" si="116"/>
        <v>0</v>
      </c>
      <c r="V31" s="93">
        <f t="shared" si="116"/>
        <v>0</v>
      </c>
      <c r="W31" s="93">
        <f t="shared" ref="W31:AI31" si="117">+W11+W13+W15+W17+W19+W21+W23+W25+W29</f>
        <v>0</v>
      </c>
      <c r="X31" s="93">
        <f t="shared" si="117"/>
        <v>0</v>
      </c>
      <c r="Y31" s="93">
        <f t="shared" si="117"/>
        <v>0</v>
      </c>
      <c r="Z31" s="93">
        <f t="shared" si="117"/>
        <v>0</v>
      </c>
      <c r="AA31" s="93">
        <f t="shared" si="117"/>
        <v>0</v>
      </c>
      <c r="AB31" s="93">
        <f t="shared" si="117"/>
        <v>0</v>
      </c>
      <c r="AC31" s="93">
        <f t="shared" si="117"/>
        <v>0</v>
      </c>
      <c r="AD31" s="93">
        <f t="shared" si="117"/>
        <v>0</v>
      </c>
      <c r="AE31" s="93">
        <f t="shared" si="117"/>
        <v>0</v>
      </c>
      <c r="AF31" s="93">
        <f t="shared" si="117"/>
        <v>0</v>
      </c>
      <c r="AG31" s="93">
        <f t="shared" si="117"/>
        <v>-1</v>
      </c>
      <c r="AH31" s="90">
        <f t="shared" si="117"/>
        <v>0</v>
      </c>
      <c r="AI31" s="92">
        <f t="shared" si="117"/>
        <v>-1</v>
      </c>
      <c r="AJ31" s="93">
        <f>+AJ11+AJ13+AJ15+AJ17+AY19+AJ21+AJ23+AJ25+AJ29</f>
        <v>-0.02</v>
      </c>
      <c r="AK31" s="93">
        <f>+AK11+AK13+AK15+AK17+AZ19+AK21+AK23+AK25+AK29</f>
        <v>-1.22</v>
      </c>
      <c r="AL31" s="93">
        <f>+AL11+AL13+AL15+AL17+BA19+AL21+AL23+AL25+AL29</f>
        <v>-0.02</v>
      </c>
      <c r="AM31" s="93">
        <f>+AM11+AM13+AM15+AM17+BB19+AM21+AM23+AM25+AM29</f>
        <v>-0.02</v>
      </c>
      <c r="AN31" s="93">
        <f>+AN11+AN13+AN15+AN17+BC19+AN21+AN23+AN25+AN29</f>
        <v>-0.02</v>
      </c>
      <c r="AO31" s="93">
        <f t="shared" ref="AO31:BT31" si="118">+AO11+AO13+AO15+AO17+AO19+AO21+AO23+AO25+AO29</f>
        <v>-1.01</v>
      </c>
      <c r="AP31" s="93">
        <f t="shared" si="118"/>
        <v>-0.8</v>
      </c>
      <c r="AQ31" s="93">
        <f t="shared" si="118"/>
        <v>-3.2</v>
      </c>
      <c r="AR31" s="93">
        <f t="shared" si="118"/>
        <v>-2.48</v>
      </c>
      <c r="AS31" s="93">
        <f t="shared" si="118"/>
        <v>-2.48</v>
      </c>
      <c r="AT31" s="93">
        <f t="shared" si="118"/>
        <v>-0.08</v>
      </c>
      <c r="AU31" s="93">
        <f t="shared" si="118"/>
        <v>-0.08</v>
      </c>
      <c r="AV31" s="93">
        <f t="shared" si="118"/>
        <v>-0.08</v>
      </c>
      <c r="AW31" s="93">
        <f t="shared" si="118"/>
        <v>-0.08</v>
      </c>
      <c r="AX31" s="93">
        <f t="shared" si="118"/>
        <v>-0.08</v>
      </c>
      <c r="AY31" s="93">
        <f t="shared" si="118"/>
        <v>-0.02</v>
      </c>
      <c r="AZ31" s="93">
        <f t="shared" si="118"/>
        <v>-0.02</v>
      </c>
      <c r="BA31" s="93">
        <f t="shared" si="118"/>
        <v>-0.02</v>
      </c>
      <c r="BB31" s="93">
        <f t="shared" si="118"/>
        <v>-0.02</v>
      </c>
      <c r="BC31" s="93">
        <f t="shared" si="118"/>
        <v>-0.02</v>
      </c>
      <c r="BD31" s="93">
        <f t="shared" si="118"/>
        <v>0</v>
      </c>
      <c r="BE31" s="93">
        <f t="shared" si="118"/>
        <v>0</v>
      </c>
      <c r="BF31" s="93">
        <f t="shared" si="118"/>
        <v>0</v>
      </c>
      <c r="BG31" s="93">
        <f t="shared" si="118"/>
        <v>0</v>
      </c>
      <c r="BH31" s="93">
        <f t="shared" si="118"/>
        <v>0</v>
      </c>
      <c r="BI31" s="93">
        <f t="shared" si="118"/>
        <v>0</v>
      </c>
      <c r="BJ31" s="93">
        <f t="shared" si="118"/>
        <v>0</v>
      </c>
      <c r="BK31" s="93">
        <f t="shared" si="118"/>
        <v>0</v>
      </c>
      <c r="BL31" s="91">
        <f t="shared" si="118"/>
        <v>0</v>
      </c>
      <c r="BM31" s="92">
        <f t="shared" si="118"/>
        <v>0</v>
      </c>
      <c r="BN31" s="93">
        <f t="shared" si="118"/>
        <v>0</v>
      </c>
      <c r="BO31" s="93">
        <f t="shared" si="118"/>
        <v>0</v>
      </c>
      <c r="BP31" s="93">
        <f t="shared" si="118"/>
        <v>0</v>
      </c>
      <c r="BQ31" s="93">
        <f t="shared" si="118"/>
        <v>0</v>
      </c>
      <c r="BR31" s="93">
        <f t="shared" si="118"/>
        <v>0</v>
      </c>
      <c r="BS31" s="93">
        <f t="shared" si="118"/>
        <v>0</v>
      </c>
      <c r="BT31" s="93">
        <f t="shared" si="118"/>
        <v>0</v>
      </c>
      <c r="BU31" s="93">
        <f t="shared" ref="BU31:CQ31" si="119">+BU11+BU13+BU15+BU17+BU19+BU21+BU23+BU25+BU29</f>
        <v>0</v>
      </c>
      <c r="BV31" s="93">
        <f t="shared" si="119"/>
        <v>0</v>
      </c>
      <c r="BW31" s="93">
        <f t="shared" si="119"/>
        <v>0</v>
      </c>
      <c r="BX31" s="93">
        <f t="shared" si="119"/>
        <v>0</v>
      </c>
      <c r="BY31" s="93">
        <f t="shared" si="119"/>
        <v>0</v>
      </c>
      <c r="BZ31" s="93">
        <f t="shared" si="119"/>
        <v>0</v>
      </c>
      <c r="CA31" s="93">
        <f t="shared" si="119"/>
        <v>0</v>
      </c>
      <c r="CB31" s="93">
        <f t="shared" si="119"/>
        <v>0</v>
      </c>
      <c r="CC31" s="93">
        <f t="shared" si="119"/>
        <v>0</v>
      </c>
      <c r="CD31" s="93">
        <f t="shared" si="119"/>
        <v>0</v>
      </c>
      <c r="CE31" s="93">
        <f t="shared" si="119"/>
        <v>0</v>
      </c>
      <c r="CF31" s="93">
        <f t="shared" si="119"/>
        <v>0</v>
      </c>
      <c r="CG31" s="93">
        <f t="shared" si="119"/>
        <v>0</v>
      </c>
      <c r="CH31" s="93">
        <f t="shared" si="119"/>
        <v>0</v>
      </c>
      <c r="CI31" s="93">
        <f t="shared" si="119"/>
        <v>0</v>
      </c>
      <c r="CJ31" s="93">
        <f t="shared" si="119"/>
        <v>0</v>
      </c>
      <c r="CK31" s="93">
        <f t="shared" si="119"/>
        <v>0</v>
      </c>
      <c r="CL31" s="93">
        <f t="shared" si="119"/>
        <v>0</v>
      </c>
      <c r="CM31" s="93">
        <f t="shared" si="119"/>
        <v>0</v>
      </c>
      <c r="CN31" s="93">
        <f t="shared" si="119"/>
        <v>0</v>
      </c>
      <c r="CO31" s="93">
        <f t="shared" si="119"/>
        <v>0</v>
      </c>
      <c r="CP31" s="93">
        <f t="shared" si="119"/>
        <v>0</v>
      </c>
      <c r="CQ31" s="91">
        <f t="shared" si="119"/>
        <v>0</v>
      </c>
    </row>
    <row r="32" spans="1:95" ht="15" thickBot="1" x14ac:dyDescent="0.4">
      <c r="A32" s="18" t="s">
        <v>30</v>
      </c>
      <c r="B32" s="19"/>
      <c r="C32" s="210"/>
      <c r="D32" s="96">
        <f t="shared" ref="D32:S32" si="120">IF(D30&lt;D31,D30,D31)</f>
        <v>0</v>
      </c>
      <c r="E32" s="97">
        <f t="shared" si="120"/>
        <v>0</v>
      </c>
      <c r="F32" s="97">
        <f t="shared" si="120"/>
        <v>0</v>
      </c>
      <c r="G32" s="97">
        <f t="shared" si="120"/>
        <v>0</v>
      </c>
      <c r="H32" s="97">
        <f t="shared" si="120"/>
        <v>0</v>
      </c>
      <c r="I32" s="97">
        <f t="shared" si="120"/>
        <v>0</v>
      </c>
      <c r="J32" s="97">
        <f t="shared" si="120"/>
        <v>0</v>
      </c>
      <c r="K32" s="97">
        <f t="shared" si="120"/>
        <v>0</v>
      </c>
      <c r="L32" s="97">
        <f t="shared" si="120"/>
        <v>0</v>
      </c>
      <c r="M32" s="97">
        <f t="shared" si="120"/>
        <v>0</v>
      </c>
      <c r="N32" s="97">
        <f t="shared" si="120"/>
        <v>0</v>
      </c>
      <c r="O32" s="97">
        <f t="shared" si="120"/>
        <v>0</v>
      </c>
      <c r="P32" s="97">
        <f t="shared" si="120"/>
        <v>0</v>
      </c>
      <c r="Q32" s="97">
        <f t="shared" si="120"/>
        <v>0</v>
      </c>
      <c r="R32" s="97">
        <f t="shared" si="120"/>
        <v>0</v>
      </c>
      <c r="S32" s="97">
        <f t="shared" si="120"/>
        <v>0</v>
      </c>
      <c r="T32" s="97">
        <f t="shared" ref="T32:AX32" si="121">IF(T30&lt;T31,T30,T31)</f>
        <v>0</v>
      </c>
      <c r="U32" s="97">
        <f t="shared" si="121"/>
        <v>0</v>
      </c>
      <c r="V32" s="97">
        <f t="shared" si="121"/>
        <v>0</v>
      </c>
      <c r="W32" s="97">
        <f t="shared" si="121"/>
        <v>0</v>
      </c>
      <c r="X32" s="97">
        <f t="shared" si="121"/>
        <v>0</v>
      </c>
      <c r="Y32" s="97">
        <f t="shared" si="121"/>
        <v>0</v>
      </c>
      <c r="Z32" s="97">
        <f t="shared" si="121"/>
        <v>0</v>
      </c>
      <c r="AA32" s="97">
        <f t="shared" si="121"/>
        <v>0</v>
      </c>
      <c r="AB32" s="97">
        <f t="shared" si="121"/>
        <v>0</v>
      </c>
      <c r="AC32" s="97">
        <f t="shared" si="121"/>
        <v>0</v>
      </c>
      <c r="AD32" s="97">
        <f t="shared" si="121"/>
        <v>0</v>
      </c>
      <c r="AE32" s="97">
        <f t="shared" si="121"/>
        <v>0</v>
      </c>
      <c r="AF32" s="97">
        <f t="shared" si="121"/>
        <v>0</v>
      </c>
      <c r="AG32" s="97">
        <f t="shared" si="121"/>
        <v>-1</v>
      </c>
      <c r="AH32" s="94">
        <f t="shared" si="121"/>
        <v>0</v>
      </c>
      <c r="AI32" s="96">
        <f t="shared" si="121"/>
        <v>-1</v>
      </c>
      <c r="AJ32" s="97">
        <f t="shared" si="121"/>
        <v>-0.02</v>
      </c>
      <c r="AK32" s="97">
        <f t="shared" si="121"/>
        <v>-1.22</v>
      </c>
      <c r="AL32" s="97">
        <f t="shared" si="121"/>
        <v>-0.02</v>
      </c>
      <c r="AM32" s="97">
        <f t="shared" si="121"/>
        <v>-0.02</v>
      </c>
      <c r="AN32" s="97">
        <f t="shared" si="121"/>
        <v>-0.02</v>
      </c>
      <c r="AO32" s="97">
        <f t="shared" si="121"/>
        <v>-1.01</v>
      </c>
      <c r="AP32" s="97">
        <f t="shared" si="121"/>
        <v>-0.8</v>
      </c>
      <c r="AQ32" s="97">
        <f t="shared" si="121"/>
        <v>-3.2</v>
      </c>
      <c r="AR32" s="97">
        <f t="shared" si="121"/>
        <v>-2.48</v>
      </c>
      <c r="AS32" s="97">
        <f t="shared" si="121"/>
        <v>-2.48</v>
      </c>
      <c r="AT32" s="97">
        <f t="shared" si="121"/>
        <v>-0.08</v>
      </c>
      <c r="AU32" s="97">
        <f t="shared" si="121"/>
        <v>-0.08</v>
      </c>
      <c r="AV32" s="97">
        <f t="shared" si="121"/>
        <v>-0.08</v>
      </c>
      <c r="AW32" s="97">
        <f t="shared" si="121"/>
        <v>-0.08</v>
      </c>
      <c r="AX32" s="97">
        <f t="shared" si="121"/>
        <v>-0.08</v>
      </c>
      <c r="AY32" s="97">
        <f t="shared" ref="AY32:CQ32" si="122">IF(AY30&lt;AY31,AY30,AY31)</f>
        <v>-0.02</v>
      </c>
      <c r="AZ32" s="97">
        <f t="shared" si="122"/>
        <v>-0.02</v>
      </c>
      <c r="BA32" s="97">
        <f t="shared" si="122"/>
        <v>-0.02</v>
      </c>
      <c r="BB32" s="97">
        <f t="shared" si="122"/>
        <v>-0.02</v>
      </c>
      <c r="BC32" s="97">
        <f t="shared" si="122"/>
        <v>-0.02</v>
      </c>
      <c r="BD32" s="97">
        <f t="shared" si="122"/>
        <v>0</v>
      </c>
      <c r="BE32" s="97">
        <f t="shared" si="122"/>
        <v>0</v>
      </c>
      <c r="BF32" s="97">
        <f t="shared" si="122"/>
        <v>0</v>
      </c>
      <c r="BG32" s="97">
        <f t="shared" si="122"/>
        <v>0</v>
      </c>
      <c r="BH32" s="97">
        <f t="shared" si="122"/>
        <v>0</v>
      </c>
      <c r="BI32" s="97">
        <f t="shared" si="122"/>
        <v>0</v>
      </c>
      <c r="BJ32" s="97">
        <f t="shared" si="122"/>
        <v>0</v>
      </c>
      <c r="BK32" s="97">
        <f t="shared" si="122"/>
        <v>0</v>
      </c>
      <c r="BL32" s="95">
        <f t="shared" si="122"/>
        <v>0</v>
      </c>
      <c r="BM32" s="96">
        <f t="shared" si="122"/>
        <v>0</v>
      </c>
      <c r="BN32" s="97">
        <f t="shared" si="122"/>
        <v>0</v>
      </c>
      <c r="BO32" s="97">
        <f t="shared" si="122"/>
        <v>0</v>
      </c>
      <c r="BP32" s="97">
        <f t="shared" si="122"/>
        <v>0</v>
      </c>
      <c r="BQ32" s="97">
        <f t="shared" si="122"/>
        <v>0</v>
      </c>
      <c r="BR32" s="97">
        <f t="shared" si="122"/>
        <v>0</v>
      </c>
      <c r="BS32" s="97">
        <f t="shared" si="122"/>
        <v>0</v>
      </c>
      <c r="BT32" s="97">
        <f t="shared" si="122"/>
        <v>0</v>
      </c>
      <c r="BU32" s="97">
        <f t="shared" si="122"/>
        <v>0</v>
      </c>
      <c r="BV32" s="97">
        <f t="shared" si="122"/>
        <v>0</v>
      </c>
      <c r="BW32" s="97">
        <f t="shared" si="122"/>
        <v>0</v>
      </c>
      <c r="BX32" s="97">
        <f t="shared" si="122"/>
        <v>0</v>
      </c>
      <c r="BY32" s="97">
        <f t="shared" si="122"/>
        <v>0</v>
      </c>
      <c r="BZ32" s="97">
        <f t="shared" si="122"/>
        <v>0</v>
      </c>
      <c r="CA32" s="97">
        <f t="shared" si="122"/>
        <v>0</v>
      </c>
      <c r="CB32" s="97">
        <f t="shared" si="122"/>
        <v>0</v>
      </c>
      <c r="CC32" s="97">
        <f t="shared" si="122"/>
        <v>0</v>
      </c>
      <c r="CD32" s="97">
        <f t="shared" si="122"/>
        <v>0</v>
      </c>
      <c r="CE32" s="97">
        <f t="shared" si="122"/>
        <v>0</v>
      </c>
      <c r="CF32" s="97">
        <f t="shared" si="122"/>
        <v>0</v>
      </c>
      <c r="CG32" s="97">
        <f t="shared" si="122"/>
        <v>0</v>
      </c>
      <c r="CH32" s="97">
        <f t="shared" si="122"/>
        <v>0</v>
      </c>
      <c r="CI32" s="97">
        <f t="shared" si="122"/>
        <v>0</v>
      </c>
      <c r="CJ32" s="97">
        <f t="shared" si="122"/>
        <v>0</v>
      </c>
      <c r="CK32" s="97">
        <f t="shared" si="122"/>
        <v>0</v>
      </c>
      <c r="CL32" s="97">
        <f t="shared" si="122"/>
        <v>0</v>
      </c>
      <c r="CM32" s="97">
        <f t="shared" si="122"/>
        <v>0</v>
      </c>
      <c r="CN32" s="97">
        <f t="shared" si="122"/>
        <v>0</v>
      </c>
      <c r="CO32" s="97">
        <f t="shared" si="122"/>
        <v>0</v>
      </c>
      <c r="CP32" s="97">
        <f t="shared" si="122"/>
        <v>0</v>
      </c>
      <c r="CQ32" s="95">
        <f t="shared" si="122"/>
        <v>0</v>
      </c>
    </row>
    <row r="33" spans="1:95" ht="15" thickBot="1" x14ac:dyDescent="0.4">
      <c r="C33" s="2"/>
    </row>
    <row r="34" spans="1:95" ht="25.5" thickBot="1" x14ac:dyDescent="0.55000000000000004">
      <c r="A34" s="1"/>
      <c r="B34" s="20"/>
      <c r="C34" s="1"/>
      <c r="D34" s="202">
        <v>46296</v>
      </c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199">
        <v>46327</v>
      </c>
      <c r="AJ34" s="200"/>
      <c r="AK34" s="200"/>
      <c r="AL34" s="200"/>
      <c r="AM34" s="200"/>
      <c r="AN34" s="200"/>
      <c r="AO34" s="200"/>
      <c r="AP34" s="200"/>
      <c r="AQ34" s="200"/>
      <c r="AR34" s="200"/>
      <c r="AS34" s="200"/>
      <c r="AT34" s="200"/>
      <c r="AU34" s="200"/>
      <c r="AV34" s="200"/>
      <c r="AW34" s="200"/>
      <c r="AX34" s="200"/>
      <c r="AY34" s="200"/>
      <c r="AZ34" s="200"/>
      <c r="BA34" s="200"/>
      <c r="BB34" s="200"/>
      <c r="BC34" s="200"/>
      <c r="BD34" s="200"/>
      <c r="BE34" s="200"/>
      <c r="BF34" s="200"/>
      <c r="BG34" s="200"/>
      <c r="BH34" s="200"/>
      <c r="BI34" s="200"/>
      <c r="BJ34" s="200"/>
      <c r="BK34" s="200"/>
      <c r="BL34" s="201"/>
      <c r="BM34" s="202">
        <v>46357</v>
      </c>
      <c r="BN34" s="203"/>
      <c r="BO34" s="203"/>
      <c r="BP34" s="203"/>
      <c r="BQ34" s="203"/>
      <c r="BR34" s="203"/>
      <c r="BS34" s="203"/>
      <c r="BT34" s="203"/>
      <c r="BU34" s="203"/>
      <c r="BV34" s="203"/>
      <c r="BW34" s="203"/>
      <c r="BX34" s="203"/>
      <c r="BY34" s="203"/>
      <c r="BZ34" s="203"/>
      <c r="CA34" s="203"/>
      <c r="CB34" s="203"/>
      <c r="CC34" s="203"/>
      <c r="CD34" s="203"/>
      <c r="CE34" s="203"/>
      <c r="CF34" s="203"/>
      <c r="CG34" s="203"/>
      <c r="CH34" s="203"/>
      <c r="CI34" s="203"/>
      <c r="CJ34" s="203"/>
      <c r="CK34" s="203"/>
      <c r="CL34" s="203"/>
      <c r="CM34" s="203"/>
      <c r="CN34" s="203"/>
      <c r="CO34" s="203"/>
      <c r="CP34" s="203"/>
      <c r="CQ34" s="204"/>
    </row>
    <row r="35" spans="1:95" ht="15" thickBot="1" x14ac:dyDescent="0.4">
      <c r="A35" s="3" t="s">
        <v>1</v>
      </c>
      <c r="B35" s="3"/>
      <c r="C35" s="3" t="s">
        <v>2</v>
      </c>
      <c r="D35" s="175">
        <v>1</v>
      </c>
      <c r="E35" s="176">
        <v>2</v>
      </c>
      <c r="F35" s="177">
        <v>3</v>
      </c>
      <c r="G35" s="177">
        <v>4</v>
      </c>
      <c r="H35" s="176">
        <v>5</v>
      </c>
      <c r="I35" s="176">
        <v>6</v>
      </c>
      <c r="J35" s="176">
        <v>7</v>
      </c>
      <c r="K35" s="176">
        <v>8</v>
      </c>
      <c r="L35" s="176">
        <v>9</v>
      </c>
      <c r="M35" s="177">
        <v>10</v>
      </c>
      <c r="N35" s="177">
        <v>11</v>
      </c>
      <c r="O35" s="177">
        <v>12</v>
      </c>
      <c r="P35" s="176">
        <v>13</v>
      </c>
      <c r="Q35" s="176">
        <v>14</v>
      </c>
      <c r="R35" s="176">
        <v>15</v>
      </c>
      <c r="S35" s="176">
        <v>16</v>
      </c>
      <c r="T35" s="177">
        <v>17</v>
      </c>
      <c r="U35" s="177">
        <v>18</v>
      </c>
      <c r="V35" s="176">
        <v>19</v>
      </c>
      <c r="W35" s="176">
        <v>20</v>
      </c>
      <c r="X35" s="176">
        <v>21</v>
      </c>
      <c r="Y35" s="176">
        <v>22</v>
      </c>
      <c r="Z35" s="176">
        <v>23</v>
      </c>
      <c r="AA35" s="177">
        <v>24</v>
      </c>
      <c r="AB35" s="177">
        <v>25</v>
      </c>
      <c r="AC35" s="176">
        <v>26</v>
      </c>
      <c r="AD35" s="176">
        <v>27</v>
      </c>
      <c r="AE35" s="176">
        <v>28</v>
      </c>
      <c r="AF35" s="176">
        <v>29</v>
      </c>
      <c r="AG35" s="176">
        <v>30</v>
      </c>
      <c r="AH35" s="180">
        <v>31</v>
      </c>
      <c r="AI35" s="179">
        <v>1</v>
      </c>
      <c r="AJ35" s="176">
        <v>2</v>
      </c>
      <c r="AK35" s="176">
        <v>3</v>
      </c>
      <c r="AL35" s="176">
        <v>4</v>
      </c>
      <c r="AM35" s="176">
        <v>5</v>
      </c>
      <c r="AN35" s="176">
        <v>6</v>
      </c>
      <c r="AO35" s="179">
        <v>7</v>
      </c>
      <c r="AP35" s="179">
        <v>8</v>
      </c>
      <c r="AQ35" s="176">
        <v>9</v>
      </c>
      <c r="AR35" s="176">
        <v>10</v>
      </c>
      <c r="AS35" s="176">
        <v>11</v>
      </c>
      <c r="AT35" s="176">
        <v>12</v>
      </c>
      <c r="AU35" s="176">
        <v>13</v>
      </c>
      <c r="AV35" s="179">
        <v>14</v>
      </c>
      <c r="AW35" s="179">
        <v>15</v>
      </c>
      <c r="AX35" s="176">
        <v>16</v>
      </c>
      <c r="AY35" s="176">
        <v>17</v>
      </c>
      <c r="AZ35" s="176">
        <v>18</v>
      </c>
      <c r="BA35" s="176">
        <v>19</v>
      </c>
      <c r="BB35" s="176">
        <v>20</v>
      </c>
      <c r="BC35" s="179">
        <v>21</v>
      </c>
      <c r="BD35" s="179">
        <v>22</v>
      </c>
      <c r="BE35" s="177">
        <v>23</v>
      </c>
      <c r="BF35" s="176">
        <v>24</v>
      </c>
      <c r="BG35" s="176">
        <v>25</v>
      </c>
      <c r="BH35" s="176">
        <v>26</v>
      </c>
      <c r="BI35" s="176">
        <v>27</v>
      </c>
      <c r="BJ35" s="179">
        <v>28</v>
      </c>
      <c r="BK35" s="179">
        <v>29</v>
      </c>
      <c r="BL35" s="181">
        <v>30</v>
      </c>
      <c r="BM35" s="175">
        <v>1</v>
      </c>
      <c r="BN35" s="176">
        <v>2</v>
      </c>
      <c r="BO35" s="175">
        <v>3</v>
      </c>
      <c r="BP35" s="176">
        <v>4</v>
      </c>
      <c r="BQ35" s="179">
        <v>5</v>
      </c>
      <c r="BR35" s="177">
        <v>6</v>
      </c>
      <c r="BS35" s="179">
        <v>7</v>
      </c>
      <c r="BT35" s="177">
        <v>8</v>
      </c>
      <c r="BU35" s="175">
        <v>9</v>
      </c>
      <c r="BV35" s="176">
        <v>10</v>
      </c>
      <c r="BW35" s="175">
        <v>11</v>
      </c>
      <c r="BX35" s="179">
        <v>12</v>
      </c>
      <c r="BY35" s="177">
        <v>13</v>
      </c>
      <c r="BZ35" s="176">
        <v>14</v>
      </c>
      <c r="CA35" s="175">
        <v>15</v>
      </c>
      <c r="CB35" s="176">
        <v>16</v>
      </c>
      <c r="CC35" s="175">
        <v>17</v>
      </c>
      <c r="CD35" s="176">
        <v>18</v>
      </c>
      <c r="CE35" s="179">
        <v>19</v>
      </c>
      <c r="CF35" s="177">
        <v>20</v>
      </c>
      <c r="CG35" s="175">
        <v>21</v>
      </c>
      <c r="CH35" s="176">
        <v>22</v>
      </c>
      <c r="CI35" s="175">
        <v>23</v>
      </c>
      <c r="CJ35" s="176">
        <v>24</v>
      </c>
      <c r="CK35" s="175">
        <v>25</v>
      </c>
      <c r="CL35" s="179">
        <v>26</v>
      </c>
      <c r="CM35" s="177">
        <v>27</v>
      </c>
      <c r="CN35" s="176">
        <v>28</v>
      </c>
      <c r="CO35" s="175">
        <v>29</v>
      </c>
      <c r="CP35" s="176">
        <v>30</v>
      </c>
      <c r="CQ35" s="182">
        <v>31</v>
      </c>
    </row>
    <row r="36" spans="1:95" ht="15" thickBot="1" x14ac:dyDescent="0.4">
      <c r="A36" s="4"/>
      <c r="B36" s="4"/>
      <c r="C36" s="5"/>
      <c r="D36" s="175" t="s">
        <v>3</v>
      </c>
      <c r="E36" s="176" t="s">
        <v>4</v>
      </c>
      <c r="F36" s="177" t="s">
        <v>5</v>
      </c>
      <c r="G36" s="177" t="s">
        <v>6</v>
      </c>
      <c r="H36" s="176" t="s">
        <v>7</v>
      </c>
      <c r="I36" s="176" t="s">
        <v>8</v>
      </c>
      <c r="J36" s="176" t="s">
        <v>9</v>
      </c>
      <c r="K36" s="176" t="s">
        <v>3</v>
      </c>
      <c r="L36" s="176" t="s">
        <v>4</v>
      </c>
      <c r="M36" s="177" t="s">
        <v>5</v>
      </c>
      <c r="N36" s="177" t="s">
        <v>6</v>
      </c>
      <c r="O36" s="177" t="s">
        <v>7</v>
      </c>
      <c r="P36" s="176" t="s">
        <v>8</v>
      </c>
      <c r="Q36" s="176" t="s">
        <v>9</v>
      </c>
      <c r="R36" s="176" t="s">
        <v>3</v>
      </c>
      <c r="S36" s="176" t="s">
        <v>4</v>
      </c>
      <c r="T36" s="177" t="s">
        <v>5</v>
      </c>
      <c r="U36" s="177" t="s">
        <v>6</v>
      </c>
      <c r="V36" s="176" t="s">
        <v>7</v>
      </c>
      <c r="W36" s="176" t="s">
        <v>8</v>
      </c>
      <c r="X36" s="176" t="s">
        <v>9</v>
      </c>
      <c r="Y36" s="176" t="s">
        <v>3</v>
      </c>
      <c r="Z36" s="176" t="s">
        <v>4</v>
      </c>
      <c r="AA36" s="177" t="s">
        <v>5</v>
      </c>
      <c r="AB36" s="177" t="s">
        <v>6</v>
      </c>
      <c r="AC36" s="176" t="s">
        <v>7</v>
      </c>
      <c r="AD36" s="176" t="s">
        <v>8</v>
      </c>
      <c r="AE36" s="176" t="s">
        <v>9</v>
      </c>
      <c r="AF36" s="176" t="s">
        <v>3</v>
      </c>
      <c r="AG36" s="176" t="s">
        <v>4</v>
      </c>
      <c r="AH36" s="180" t="s">
        <v>5</v>
      </c>
      <c r="AI36" s="179" t="s">
        <v>6</v>
      </c>
      <c r="AJ36" s="175" t="s">
        <v>7</v>
      </c>
      <c r="AK36" s="175" t="s">
        <v>8</v>
      </c>
      <c r="AL36" s="175" t="s">
        <v>9</v>
      </c>
      <c r="AM36" s="175" t="s">
        <v>3</v>
      </c>
      <c r="AN36" s="175" t="s">
        <v>4</v>
      </c>
      <c r="AO36" s="179" t="s">
        <v>5</v>
      </c>
      <c r="AP36" s="179" t="s">
        <v>6</v>
      </c>
      <c r="AQ36" s="175" t="s">
        <v>7</v>
      </c>
      <c r="AR36" s="175" t="s">
        <v>8</v>
      </c>
      <c r="AS36" s="175" t="s">
        <v>9</v>
      </c>
      <c r="AT36" s="175" t="s">
        <v>3</v>
      </c>
      <c r="AU36" s="175" t="s">
        <v>4</v>
      </c>
      <c r="AV36" s="179" t="s">
        <v>5</v>
      </c>
      <c r="AW36" s="179" t="s">
        <v>6</v>
      </c>
      <c r="AX36" s="175" t="s">
        <v>7</v>
      </c>
      <c r="AY36" s="175" t="s">
        <v>8</v>
      </c>
      <c r="AZ36" s="175" t="s">
        <v>9</v>
      </c>
      <c r="BA36" s="175" t="s">
        <v>3</v>
      </c>
      <c r="BB36" s="175" t="s">
        <v>4</v>
      </c>
      <c r="BC36" s="179" t="s">
        <v>5</v>
      </c>
      <c r="BD36" s="179" t="s">
        <v>6</v>
      </c>
      <c r="BE36" s="179" t="s">
        <v>7</v>
      </c>
      <c r="BF36" s="175" t="s">
        <v>8</v>
      </c>
      <c r="BG36" s="175" t="s">
        <v>9</v>
      </c>
      <c r="BH36" s="175" t="s">
        <v>3</v>
      </c>
      <c r="BI36" s="175" t="s">
        <v>4</v>
      </c>
      <c r="BJ36" s="179" t="s">
        <v>5</v>
      </c>
      <c r="BK36" s="179" t="s">
        <v>6</v>
      </c>
      <c r="BL36" s="182" t="s">
        <v>7</v>
      </c>
      <c r="BM36" s="175" t="s">
        <v>8</v>
      </c>
      <c r="BN36" s="176" t="s">
        <v>9</v>
      </c>
      <c r="BO36" s="175" t="s">
        <v>3</v>
      </c>
      <c r="BP36" s="176" t="s">
        <v>4</v>
      </c>
      <c r="BQ36" s="179" t="s">
        <v>5</v>
      </c>
      <c r="BR36" s="177" t="s">
        <v>6</v>
      </c>
      <c r="BS36" s="179" t="s">
        <v>7</v>
      </c>
      <c r="BT36" s="177" t="s">
        <v>8</v>
      </c>
      <c r="BU36" s="175" t="s">
        <v>9</v>
      </c>
      <c r="BV36" s="176" t="s">
        <v>3</v>
      </c>
      <c r="BW36" s="175" t="s">
        <v>4</v>
      </c>
      <c r="BX36" s="179" t="s">
        <v>5</v>
      </c>
      <c r="BY36" s="177" t="s">
        <v>6</v>
      </c>
      <c r="BZ36" s="176" t="s">
        <v>7</v>
      </c>
      <c r="CA36" s="175" t="s">
        <v>8</v>
      </c>
      <c r="CB36" s="176" t="s">
        <v>9</v>
      </c>
      <c r="CC36" s="175" t="s">
        <v>3</v>
      </c>
      <c r="CD36" s="176" t="s">
        <v>4</v>
      </c>
      <c r="CE36" s="179" t="s">
        <v>5</v>
      </c>
      <c r="CF36" s="177" t="s">
        <v>6</v>
      </c>
      <c r="CG36" s="175" t="s">
        <v>7</v>
      </c>
      <c r="CH36" s="176" t="s">
        <v>8</v>
      </c>
      <c r="CI36" s="175" t="s">
        <v>9</v>
      </c>
      <c r="CJ36" s="176" t="s">
        <v>3</v>
      </c>
      <c r="CK36" s="175" t="s">
        <v>4</v>
      </c>
      <c r="CL36" s="179" t="s">
        <v>5</v>
      </c>
      <c r="CM36" s="177" t="s">
        <v>6</v>
      </c>
      <c r="CN36" s="176" t="s">
        <v>7</v>
      </c>
      <c r="CO36" s="175" t="s">
        <v>8</v>
      </c>
      <c r="CP36" s="176" t="s">
        <v>9</v>
      </c>
      <c r="CQ36" s="182" t="s">
        <v>3</v>
      </c>
    </row>
    <row r="37" spans="1:95" x14ac:dyDescent="0.35">
      <c r="A37" s="221" t="s">
        <v>10</v>
      </c>
      <c r="B37" s="21" t="s">
        <v>11</v>
      </c>
      <c r="C37" s="222" t="s">
        <v>31</v>
      </c>
      <c r="D37" s="102">
        <f t="shared" ref="D37:V37" si="123">27.6+9.6+D38</f>
        <v>37.200000000000003</v>
      </c>
      <c r="E37" s="99">
        <f t="shared" si="123"/>
        <v>37.200000000000003</v>
      </c>
      <c r="F37" s="99">
        <f t="shared" si="123"/>
        <v>37.200000000000003</v>
      </c>
      <c r="G37" s="99">
        <f t="shared" si="123"/>
        <v>37.200000000000003</v>
      </c>
      <c r="H37" s="99">
        <f t="shared" si="123"/>
        <v>37.200000000000003</v>
      </c>
      <c r="I37" s="99">
        <f t="shared" si="123"/>
        <v>37.200000000000003</v>
      </c>
      <c r="J37" s="99">
        <f t="shared" si="123"/>
        <v>37.200000000000003</v>
      </c>
      <c r="K37" s="99">
        <f t="shared" si="123"/>
        <v>37.200000000000003</v>
      </c>
      <c r="L37" s="99">
        <f t="shared" si="123"/>
        <v>37.200000000000003</v>
      </c>
      <c r="M37" s="99">
        <f t="shared" si="123"/>
        <v>37.200000000000003</v>
      </c>
      <c r="N37" s="99">
        <f t="shared" si="123"/>
        <v>37.200000000000003</v>
      </c>
      <c r="O37" s="99">
        <f t="shared" si="123"/>
        <v>37.200000000000003</v>
      </c>
      <c r="P37" s="99">
        <f t="shared" si="123"/>
        <v>37.200000000000003</v>
      </c>
      <c r="Q37" s="99">
        <f t="shared" si="123"/>
        <v>35.200000000000003</v>
      </c>
      <c r="R37" s="99">
        <f t="shared" si="123"/>
        <v>35.200000000000003</v>
      </c>
      <c r="S37" s="99">
        <f t="shared" si="123"/>
        <v>32.200000000000003</v>
      </c>
      <c r="T37" s="99">
        <f t="shared" si="123"/>
        <v>37.200000000000003</v>
      </c>
      <c r="U37" s="99">
        <f t="shared" si="123"/>
        <v>37.200000000000003</v>
      </c>
      <c r="V37" s="99">
        <f t="shared" si="123"/>
        <v>35.200000000000003</v>
      </c>
      <c r="W37" s="99">
        <f t="shared" ref="W37:CH37" si="124">27.6+9.6+W38</f>
        <v>37.200000000000003</v>
      </c>
      <c r="X37" s="99">
        <f t="shared" si="124"/>
        <v>37.200000000000003</v>
      </c>
      <c r="Y37" s="99">
        <f t="shared" si="124"/>
        <v>37.200000000000003</v>
      </c>
      <c r="Z37" s="99">
        <f t="shared" si="124"/>
        <v>37.200000000000003</v>
      </c>
      <c r="AA37" s="99">
        <f t="shared" si="124"/>
        <v>37.200000000000003</v>
      </c>
      <c r="AB37" s="99">
        <f t="shared" si="124"/>
        <v>37.200000000000003</v>
      </c>
      <c r="AC37" s="99">
        <f t="shared" si="124"/>
        <v>35.200000000000003</v>
      </c>
      <c r="AD37" s="99">
        <f t="shared" si="124"/>
        <v>35.200000000000003</v>
      </c>
      <c r="AE37" s="99">
        <f t="shared" si="124"/>
        <v>35.200000000000003</v>
      </c>
      <c r="AF37" s="99">
        <f t="shared" si="124"/>
        <v>35.200000000000003</v>
      </c>
      <c r="AG37" s="99">
        <f t="shared" si="124"/>
        <v>35.200000000000003</v>
      </c>
      <c r="AH37" s="100">
        <f t="shared" si="124"/>
        <v>35.200000000000003</v>
      </c>
      <c r="AI37" s="98">
        <f t="shared" si="124"/>
        <v>37.200000000000003</v>
      </c>
      <c r="AJ37" s="99">
        <f t="shared" si="124"/>
        <v>37.200000000000003</v>
      </c>
      <c r="AK37" s="99">
        <f t="shared" si="124"/>
        <v>37.200000000000003</v>
      </c>
      <c r="AL37" s="99">
        <f t="shared" si="124"/>
        <v>27.700000000000003</v>
      </c>
      <c r="AM37" s="99">
        <f t="shared" si="124"/>
        <v>37.200000000000003</v>
      </c>
      <c r="AN37" s="99">
        <f t="shared" si="124"/>
        <v>34.200000000000003</v>
      </c>
      <c r="AO37" s="99">
        <f t="shared" si="124"/>
        <v>31.200000000000003</v>
      </c>
      <c r="AP37" s="99">
        <f t="shared" si="124"/>
        <v>31.200000000000003</v>
      </c>
      <c r="AQ37" s="99">
        <f t="shared" si="124"/>
        <v>31.200000000000003</v>
      </c>
      <c r="AR37" s="99">
        <f t="shared" si="124"/>
        <v>37.200000000000003</v>
      </c>
      <c r="AS37" s="99">
        <f t="shared" si="124"/>
        <v>37.200000000000003</v>
      </c>
      <c r="AT37" s="99">
        <f t="shared" si="124"/>
        <v>27.700000000000003</v>
      </c>
      <c r="AU37" s="99">
        <f t="shared" si="124"/>
        <v>27.700000000000003</v>
      </c>
      <c r="AV37" s="99">
        <f t="shared" si="124"/>
        <v>37.200000000000003</v>
      </c>
      <c r="AW37" s="99">
        <f t="shared" si="124"/>
        <v>37.200000000000003</v>
      </c>
      <c r="AX37" s="99">
        <f t="shared" si="124"/>
        <v>33.200000000000003</v>
      </c>
      <c r="AY37" s="99">
        <f t="shared" si="124"/>
        <v>33.200000000000003</v>
      </c>
      <c r="AZ37" s="99">
        <f t="shared" si="124"/>
        <v>33.200000000000003</v>
      </c>
      <c r="BA37" s="99">
        <f t="shared" si="124"/>
        <v>30.200000000000003</v>
      </c>
      <c r="BB37" s="99">
        <f t="shared" si="124"/>
        <v>30.200000000000003</v>
      </c>
      <c r="BC37" s="99">
        <f t="shared" si="124"/>
        <v>37.200000000000003</v>
      </c>
      <c r="BD37" s="99">
        <f t="shared" si="124"/>
        <v>37.200000000000003</v>
      </c>
      <c r="BE37" s="99">
        <f t="shared" si="124"/>
        <v>33.400000000000006</v>
      </c>
      <c r="BF37" s="99">
        <f t="shared" si="124"/>
        <v>33.400000000000006</v>
      </c>
      <c r="BG37" s="99">
        <f t="shared" si="124"/>
        <v>37.200000000000003</v>
      </c>
      <c r="BH37" s="99">
        <f t="shared" si="124"/>
        <v>37.200000000000003</v>
      </c>
      <c r="BI37" s="99">
        <f t="shared" si="124"/>
        <v>37.200000000000003</v>
      </c>
      <c r="BJ37" s="99">
        <f t="shared" si="124"/>
        <v>37.200000000000003</v>
      </c>
      <c r="BK37" s="99">
        <f t="shared" si="124"/>
        <v>37.200000000000003</v>
      </c>
      <c r="BL37" s="101">
        <f t="shared" si="124"/>
        <v>33.200000000000003</v>
      </c>
      <c r="BM37" s="98">
        <f t="shared" si="124"/>
        <v>33.200000000000003</v>
      </c>
      <c r="BN37" s="99">
        <f t="shared" si="124"/>
        <v>33.200000000000003</v>
      </c>
      <c r="BO37" s="99">
        <f t="shared" si="124"/>
        <v>37.200000000000003</v>
      </c>
      <c r="BP37" s="99">
        <f t="shared" si="124"/>
        <v>37.200000000000003</v>
      </c>
      <c r="BQ37" s="99">
        <f t="shared" si="124"/>
        <v>37.200000000000003</v>
      </c>
      <c r="BR37" s="99">
        <f t="shared" si="124"/>
        <v>37.200000000000003</v>
      </c>
      <c r="BS37" s="99">
        <f t="shared" si="124"/>
        <v>37.200000000000003</v>
      </c>
      <c r="BT37" s="99">
        <f t="shared" si="124"/>
        <v>37.200000000000003</v>
      </c>
      <c r="BU37" s="99">
        <f t="shared" si="124"/>
        <v>37.200000000000003</v>
      </c>
      <c r="BV37" s="99">
        <f t="shared" si="124"/>
        <v>37.200000000000003</v>
      </c>
      <c r="BW37" s="99">
        <f t="shared" si="124"/>
        <v>37.200000000000003</v>
      </c>
      <c r="BX37" s="99">
        <f t="shared" si="124"/>
        <v>37.200000000000003</v>
      </c>
      <c r="BY37" s="99">
        <f t="shared" si="124"/>
        <v>37.200000000000003</v>
      </c>
      <c r="BZ37" s="99">
        <f t="shared" si="124"/>
        <v>37.200000000000003</v>
      </c>
      <c r="CA37" s="99">
        <f t="shared" si="124"/>
        <v>37.200000000000003</v>
      </c>
      <c r="CB37" s="99">
        <f t="shared" si="124"/>
        <v>37.200000000000003</v>
      </c>
      <c r="CC37" s="99">
        <f t="shared" si="124"/>
        <v>37.200000000000003</v>
      </c>
      <c r="CD37" s="99">
        <f t="shared" si="124"/>
        <v>37.200000000000003</v>
      </c>
      <c r="CE37" s="99">
        <f t="shared" si="124"/>
        <v>37.200000000000003</v>
      </c>
      <c r="CF37" s="99">
        <f t="shared" si="124"/>
        <v>37.200000000000003</v>
      </c>
      <c r="CG37" s="99">
        <f t="shared" si="124"/>
        <v>37.200000000000003</v>
      </c>
      <c r="CH37" s="99">
        <f t="shared" si="124"/>
        <v>37.200000000000003</v>
      </c>
      <c r="CI37" s="99">
        <f t="shared" ref="CI37:CQ37" si="125">27.6+9.6+CI38</f>
        <v>37.200000000000003</v>
      </c>
      <c r="CJ37" s="99">
        <f t="shared" si="125"/>
        <v>37.200000000000003</v>
      </c>
      <c r="CK37" s="99">
        <f t="shared" si="125"/>
        <v>37.200000000000003</v>
      </c>
      <c r="CL37" s="99">
        <f t="shared" si="125"/>
        <v>37.200000000000003</v>
      </c>
      <c r="CM37" s="99">
        <f t="shared" si="125"/>
        <v>37.200000000000003</v>
      </c>
      <c r="CN37" s="99">
        <f t="shared" si="125"/>
        <v>37.200000000000003</v>
      </c>
      <c r="CO37" s="99">
        <f t="shared" si="125"/>
        <v>37.200000000000003</v>
      </c>
      <c r="CP37" s="99">
        <f t="shared" si="125"/>
        <v>37.200000000000003</v>
      </c>
      <c r="CQ37" s="101">
        <f t="shared" si="125"/>
        <v>37.200000000000003</v>
      </c>
    </row>
    <row r="38" spans="1:95" x14ac:dyDescent="0.35">
      <c r="A38" s="206"/>
      <c r="B38" s="22" t="s">
        <v>13</v>
      </c>
      <c r="C38" s="223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03">
        <v>-2</v>
      </c>
      <c r="R38" s="103">
        <v>-2</v>
      </c>
      <c r="S38" s="103">
        <v>-5</v>
      </c>
      <c r="T38" s="114"/>
      <c r="U38" s="114"/>
      <c r="V38" s="159">
        <v>-2</v>
      </c>
      <c r="W38" s="49"/>
      <c r="X38" s="49"/>
      <c r="Y38" s="49"/>
      <c r="Z38" s="49"/>
      <c r="AA38" s="49"/>
      <c r="AB38" s="49"/>
      <c r="AC38" s="103">
        <v>-2</v>
      </c>
      <c r="AD38" s="103">
        <v>-2</v>
      </c>
      <c r="AE38" s="103">
        <v>-2</v>
      </c>
      <c r="AF38" s="103">
        <v>-2</v>
      </c>
      <c r="AG38" s="103">
        <v>-2</v>
      </c>
      <c r="AH38" s="103">
        <v>-2</v>
      </c>
      <c r="AI38" s="114"/>
      <c r="AJ38" s="114"/>
      <c r="AK38" s="114"/>
      <c r="AL38" s="159">
        <v>-9.5</v>
      </c>
      <c r="AM38" s="114"/>
      <c r="AN38" s="159">
        <v>-3</v>
      </c>
      <c r="AO38" s="103">
        <v>-6</v>
      </c>
      <c r="AP38" s="103">
        <v>-6</v>
      </c>
      <c r="AQ38" s="103">
        <v>-6</v>
      </c>
      <c r="AR38" s="114"/>
      <c r="AS38" s="114"/>
      <c r="AT38" s="159">
        <v>-9.5</v>
      </c>
      <c r="AU38" s="159">
        <v>-9.5</v>
      </c>
      <c r="AV38" s="114"/>
      <c r="AW38" s="114"/>
      <c r="AX38" s="103">
        <v>-4</v>
      </c>
      <c r="AY38" s="103">
        <v>-4</v>
      </c>
      <c r="AZ38" s="103">
        <v>-4</v>
      </c>
      <c r="BA38" s="159">
        <v>-7</v>
      </c>
      <c r="BB38" s="159">
        <v>-7</v>
      </c>
      <c r="BC38" s="49"/>
      <c r="BD38" s="49"/>
      <c r="BE38" s="103">
        <v>-3.8</v>
      </c>
      <c r="BF38" s="103">
        <v>-3.8</v>
      </c>
      <c r="BG38" s="106"/>
      <c r="BH38" s="49"/>
      <c r="BI38" s="49"/>
      <c r="BJ38" s="49"/>
      <c r="BK38" s="49"/>
      <c r="BL38" s="103">
        <v>-4</v>
      </c>
      <c r="BM38" s="103">
        <v>-4</v>
      </c>
      <c r="BN38" s="103">
        <v>-4</v>
      </c>
      <c r="BO38" s="114"/>
      <c r="BP38" s="114"/>
      <c r="BQ38" s="114"/>
      <c r="BR38" s="114"/>
      <c r="BS38" s="114"/>
      <c r="BT38" s="114"/>
      <c r="BU38" s="114"/>
      <c r="BV38" s="114"/>
      <c r="BW38" s="114"/>
      <c r="BX38" s="114"/>
      <c r="BY38" s="114"/>
      <c r="BZ38" s="114"/>
      <c r="CA38" s="114"/>
      <c r="CB38" s="114"/>
      <c r="CC38" s="114"/>
      <c r="CD38" s="114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50"/>
    </row>
    <row r="39" spans="1:95" x14ac:dyDescent="0.35">
      <c r="A39" s="205" t="s">
        <v>32</v>
      </c>
      <c r="B39" s="22" t="s">
        <v>11</v>
      </c>
      <c r="C39" s="223"/>
      <c r="D39" s="53">
        <f t="shared" ref="D39:N39" si="126">18.5+D85+D84+D40+0.7</f>
        <v>59.980000000000004</v>
      </c>
      <c r="E39" s="53">
        <f t="shared" si="126"/>
        <v>60.019999999999996</v>
      </c>
      <c r="F39" s="53">
        <f t="shared" si="126"/>
        <v>60.06</v>
      </c>
      <c r="G39" s="53">
        <f t="shared" si="126"/>
        <v>58.679999999999993</v>
      </c>
      <c r="H39" s="53">
        <f t="shared" si="126"/>
        <v>55.11999999999999</v>
      </c>
      <c r="I39" s="53">
        <f t="shared" ref="I39" si="127">18.5+I85+I84+I40+0.7</f>
        <v>54.14</v>
      </c>
      <c r="J39" s="53">
        <f t="shared" si="126"/>
        <v>52.820000000000007</v>
      </c>
      <c r="K39" s="53">
        <f t="shared" si="126"/>
        <v>52.86</v>
      </c>
      <c r="L39" s="53">
        <f t="shared" si="126"/>
        <v>54.5</v>
      </c>
      <c r="M39" s="53">
        <f t="shared" si="126"/>
        <v>54.519999999999996</v>
      </c>
      <c r="N39" s="53">
        <f t="shared" si="126"/>
        <v>54.56</v>
      </c>
      <c r="O39" s="107">
        <v>32</v>
      </c>
      <c r="P39" s="107">
        <v>27</v>
      </c>
      <c r="Q39" s="107">
        <v>27</v>
      </c>
      <c r="R39" s="107">
        <v>29</v>
      </c>
      <c r="S39" s="107">
        <v>29</v>
      </c>
      <c r="T39" s="107">
        <v>29</v>
      </c>
      <c r="U39" s="107">
        <v>29</v>
      </c>
      <c r="V39" s="107">
        <v>29</v>
      </c>
      <c r="W39" s="107">
        <v>29</v>
      </c>
      <c r="X39" s="53">
        <v>33.700000000000003</v>
      </c>
      <c r="Y39" s="53">
        <v>33.700000000000003</v>
      </c>
      <c r="Z39" s="53">
        <v>33.700000000000003</v>
      </c>
      <c r="AA39" s="53">
        <v>33.700000000000003</v>
      </c>
      <c r="AB39" s="53">
        <v>33.700000000000003</v>
      </c>
      <c r="AC39" s="53">
        <v>33.700000000000003</v>
      </c>
      <c r="AD39" s="53">
        <v>33.700000000000003</v>
      </c>
      <c r="AE39" s="53">
        <v>33.700000000000003</v>
      </c>
      <c r="AF39" s="53">
        <v>33.700000000000003</v>
      </c>
      <c r="AG39" s="53">
        <v>33.700000000000003</v>
      </c>
      <c r="AH39" s="53">
        <v>33.700000000000003</v>
      </c>
      <c r="AI39" s="53">
        <v>33.700000000000003</v>
      </c>
      <c r="AJ39" s="53">
        <v>33.700000000000003</v>
      </c>
      <c r="AK39" s="107">
        <v>30</v>
      </c>
      <c r="AL39" s="107">
        <v>30</v>
      </c>
      <c r="AM39" s="53">
        <f t="shared" ref="AM39:CQ39" si="128">18.5+AM84+AM83+AM40+0.7</f>
        <v>5.9099999999999993</v>
      </c>
      <c r="AN39" s="107">
        <v>27</v>
      </c>
      <c r="AO39" s="107">
        <v>27</v>
      </c>
      <c r="AP39" s="107">
        <v>27</v>
      </c>
      <c r="AQ39" s="107">
        <v>27</v>
      </c>
      <c r="AR39" s="109">
        <v>23</v>
      </c>
      <c r="AS39" s="107">
        <v>27</v>
      </c>
      <c r="AT39" s="107">
        <v>27</v>
      </c>
      <c r="AU39" s="53">
        <f t="shared" si="128"/>
        <v>69.100000000000009</v>
      </c>
      <c r="AV39" s="53">
        <f t="shared" si="128"/>
        <v>78.62</v>
      </c>
      <c r="AW39" s="53">
        <f t="shared" si="128"/>
        <v>78.64</v>
      </c>
      <c r="AX39" s="107">
        <v>27</v>
      </c>
      <c r="AY39" s="109">
        <v>23</v>
      </c>
      <c r="AZ39" s="107">
        <v>29</v>
      </c>
      <c r="BA39" s="107">
        <v>29</v>
      </c>
      <c r="BB39" s="107">
        <v>29</v>
      </c>
      <c r="BC39" s="53">
        <f t="shared" si="128"/>
        <v>80.750000000000014</v>
      </c>
      <c r="BD39" s="53">
        <f t="shared" si="128"/>
        <v>80.750000000000014</v>
      </c>
      <c r="BE39" s="53">
        <f t="shared" si="128"/>
        <v>76.97</v>
      </c>
      <c r="BF39" s="109">
        <v>23</v>
      </c>
      <c r="BG39" s="53">
        <f t="shared" si="128"/>
        <v>72.77</v>
      </c>
      <c r="BH39" s="53">
        <f t="shared" si="128"/>
        <v>72.77</v>
      </c>
      <c r="BI39" s="53">
        <f t="shared" si="128"/>
        <v>80.77</v>
      </c>
      <c r="BJ39" s="54">
        <f t="shared" si="128"/>
        <v>17.27</v>
      </c>
      <c r="BK39" s="54">
        <f t="shared" si="128"/>
        <v>38.270000000000003</v>
      </c>
      <c r="BL39" s="54">
        <f t="shared" si="128"/>
        <v>34.270000000000003</v>
      </c>
      <c r="BM39" s="109">
        <v>23</v>
      </c>
      <c r="BN39" s="54">
        <f t="shared" si="128"/>
        <v>34.400000000000006</v>
      </c>
      <c r="BO39" s="54">
        <f t="shared" si="128"/>
        <v>38.400000000000006</v>
      </c>
      <c r="BP39" s="54">
        <f t="shared" si="128"/>
        <v>38.400000000000006</v>
      </c>
      <c r="BQ39" s="54">
        <f t="shared" si="128"/>
        <v>40.200000000000003</v>
      </c>
      <c r="BR39" s="54">
        <f t="shared" si="128"/>
        <v>40.200000000000003</v>
      </c>
      <c r="BS39" s="54">
        <f t="shared" si="128"/>
        <v>40.200000000000003</v>
      </c>
      <c r="BT39" s="109">
        <v>23</v>
      </c>
      <c r="BU39" s="54">
        <f t="shared" si="128"/>
        <v>40.200000000000003</v>
      </c>
      <c r="BV39" s="54">
        <f t="shared" si="128"/>
        <v>40.200000000000003</v>
      </c>
      <c r="BW39" s="54">
        <f t="shared" si="128"/>
        <v>40.200000000000003</v>
      </c>
      <c r="BX39" s="54">
        <f t="shared" si="128"/>
        <v>40.200000000000003</v>
      </c>
      <c r="BY39" s="54">
        <f t="shared" si="128"/>
        <v>40.200000000000003</v>
      </c>
      <c r="BZ39" s="190">
        <v>26</v>
      </c>
      <c r="CA39" s="54">
        <f t="shared" ref="CA39" si="129">18.5+CA85+CA84+CA40+0.7</f>
        <v>61.2</v>
      </c>
      <c r="CB39" s="189">
        <v>26</v>
      </c>
      <c r="CC39" s="54">
        <f t="shared" si="128"/>
        <v>40.200000000000003</v>
      </c>
      <c r="CD39" s="54">
        <f t="shared" si="128"/>
        <v>40.200000000000003</v>
      </c>
      <c r="CE39" s="54">
        <f t="shared" si="128"/>
        <v>40.200000000000003</v>
      </c>
      <c r="CF39" s="54">
        <f t="shared" si="128"/>
        <v>40.200000000000003</v>
      </c>
      <c r="CG39" s="54">
        <f t="shared" si="128"/>
        <v>40.200000000000003</v>
      </c>
      <c r="CH39" s="54">
        <f t="shared" si="128"/>
        <v>40.200000000000003</v>
      </c>
      <c r="CI39" s="54">
        <f t="shared" si="128"/>
        <v>40.200000000000003</v>
      </c>
      <c r="CJ39" s="54">
        <f t="shared" si="128"/>
        <v>40.200000000000003</v>
      </c>
      <c r="CK39" s="54">
        <f t="shared" si="128"/>
        <v>40.200000000000003</v>
      </c>
      <c r="CL39" s="54">
        <f t="shared" si="128"/>
        <v>40.200000000000003</v>
      </c>
      <c r="CM39" s="54">
        <f t="shared" si="128"/>
        <v>40.200000000000003</v>
      </c>
      <c r="CN39" s="54">
        <f t="shared" si="128"/>
        <v>19.2</v>
      </c>
      <c r="CO39" s="54">
        <f t="shared" si="128"/>
        <v>40.200000000000003</v>
      </c>
      <c r="CP39" s="54">
        <f t="shared" si="128"/>
        <v>40.200000000000003</v>
      </c>
      <c r="CQ39" s="54">
        <f t="shared" si="128"/>
        <v>40.200000000000003</v>
      </c>
    </row>
    <row r="40" spans="1:95" x14ac:dyDescent="0.35">
      <c r="A40" s="206"/>
      <c r="B40" s="22" t="s">
        <v>13</v>
      </c>
      <c r="C40" s="223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03">
        <v>-1.7</v>
      </c>
      <c r="P40" s="103">
        <v>-6.7</v>
      </c>
      <c r="Q40" s="103">
        <v>-6.7</v>
      </c>
      <c r="R40" s="103">
        <v>-4.7</v>
      </c>
      <c r="S40" s="103">
        <v>-4.7</v>
      </c>
      <c r="T40" s="103">
        <v>-4.7</v>
      </c>
      <c r="U40" s="103">
        <v>-4.7</v>
      </c>
      <c r="V40" s="103">
        <v>-4.7</v>
      </c>
      <c r="W40" s="103">
        <v>-4.7</v>
      </c>
      <c r="X40" s="103">
        <v>0</v>
      </c>
      <c r="Y40" s="103">
        <v>0</v>
      </c>
      <c r="Z40" s="162"/>
      <c r="AA40" s="114"/>
      <c r="AB40" s="114"/>
      <c r="AC40" s="114"/>
      <c r="AD40" s="114"/>
      <c r="AE40" s="114"/>
      <c r="AF40" s="114"/>
      <c r="AG40" s="114"/>
      <c r="AH40" s="161"/>
      <c r="AI40" s="114"/>
      <c r="AJ40" s="103">
        <v>-3.7</v>
      </c>
      <c r="AK40" s="103">
        <v>-3.7</v>
      </c>
      <c r="AL40" s="103">
        <v>-3.7</v>
      </c>
      <c r="AM40" s="114"/>
      <c r="AN40" s="103">
        <v>-6.7</v>
      </c>
      <c r="AO40" s="103">
        <v>-6.7</v>
      </c>
      <c r="AP40" s="103">
        <v>-6.7</v>
      </c>
      <c r="AQ40" s="103">
        <v>-6.7</v>
      </c>
      <c r="AR40" s="159">
        <v>-10.7</v>
      </c>
      <c r="AS40" s="103">
        <v>-6.7</v>
      </c>
      <c r="AT40" s="103">
        <v>-6.7</v>
      </c>
      <c r="AU40" s="103">
        <v>-1</v>
      </c>
      <c r="AV40" s="103">
        <v>-1</v>
      </c>
      <c r="AW40" s="103">
        <v>-1</v>
      </c>
      <c r="AX40" s="103">
        <v>-6.7</v>
      </c>
      <c r="AY40" s="159">
        <v>-10.7</v>
      </c>
      <c r="AZ40" s="103">
        <v>-4.7</v>
      </c>
      <c r="BA40" s="103">
        <v>-4.7</v>
      </c>
      <c r="BB40" s="103">
        <v>-4.7</v>
      </c>
      <c r="BC40" s="114"/>
      <c r="BD40" s="114"/>
      <c r="BE40" s="114"/>
      <c r="BF40" s="159">
        <v>-10.7</v>
      </c>
      <c r="BG40" s="114"/>
      <c r="BH40" s="114"/>
      <c r="BI40" s="114"/>
      <c r="BJ40" s="114"/>
      <c r="BK40" s="114"/>
      <c r="BL40" s="115"/>
      <c r="BM40" s="159">
        <v>-10.7</v>
      </c>
      <c r="BN40" s="114"/>
      <c r="BO40" s="114"/>
      <c r="BP40" s="114"/>
      <c r="BQ40" s="114"/>
      <c r="BR40" s="114"/>
      <c r="BS40" s="114"/>
      <c r="BT40" s="159">
        <v>-10.7</v>
      </c>
      <c r="BU40" s="114"/>
      <c r="BV40" s="114"/>
      <c r="BW40" s="114"/>
      <c r="BX40" s="114"/>
      <c r="BY40" s="114"/>
      <c r="BZ40" s="170">
        <v>-7.7</v>
      </c>
      <c r="CA40" s="114"/>
      <c r="CB40" s="159">
        <v>-7.7</v>
      </c>
      <c r="CC40" s="114"/>
      <c r="CD40" s="114"/>
      <c r="CE40" s="114"/>
      <c r="CF40" s="114"/>
      <c r="CG40" s="114"/>
      <c r="CH40" s="114"/>
      <c r="CI40" s="114"/>
      <c r="CJ40" s="114"/>
      <c r="CK40" s="114"/>
      <c r="CL40" s="114"/>
      <c r="CM40" s="114"/>
      <c r="CN40" s="114"/>
      <c r="CO40" s="114"/>
      <c r="CP40" s="114"/>
      <c r="CQ40" s="115"/>
    </row>
    <row r="41" spans="1:95" x14ac:dyDescent="0.35">
      <c r="A41" s="205" t="s">
        <v>33</v>
      </c>
      <c r="B41" s="22" t="s">
        <v>11</v>
      </c>
      <c r="C41" s="223"/>
      <c r="D41" s="110">
        <v>7.5</v>
      </c>
      <c r="E41" s="111">
        <v>7.5</v>
      </c>
      <c r="F41" s="111">
        <v>7.5</v>
      </c>
      <c r="G41" s="111">
        <v>7.5</v>
      </c>
      <c r="H41" s="111">
        <v>7.5</v>
      </c>
      <c r="I41" s="111">
        <v>7.5</v>
      </c>
      <c r="J41" s="111">
        <v>7.5</v>
      </c>
      <c r="K41" s="111">
        <v>7.5</v>
      </c>
      <c r="L41" s="111">
        <v>7.5</v>
      </c>
      <c r="M41" s="111">
        <v>7.5</v>
      </c>
      <c r="N41" s="111">
        <v>7.5</v>
      </c>
      <c r="O41" s="111">
        <v>7.5</v>
      </c>
      <c r="P41" s="111">
        <v>7.5</v>
      </c>
      <c r="Q41" s="111">
        <v>7.5</v>
      </c>
      <c r="R41" s="111">
        <v>7.5</v>
      </c>
      <c r="S41" s="111">
        <v>7.5</v>
      </c>
      <c r="T41" s="111">
        <v>7.5</v>
      </c>
      <c r="U41" s="111">
        <v>7.5</v>
      </c>
      <c r="V41" s="111">
        <v>7.5</v>
      </c>
      <c r="W41" s="111">
        <v>7.5</v>
      </c>
      <c r="X41" s="111">
        <v>7.5</v>
      </c>
      <c r="Y41" s="111">
        <v>7.5</v>
      </c>
      <c r="Z41" s="111">
        <v>7.5</v>
      </c>
      <c r="AA41" s="111">
        <v>7.5</v>
      </c>
      <c r="AB41" s="111">
        <v>7.5</v>
      </c>
      <c r="AC41" s="111">
        <v>7.5</v>
      </c>
      <c r="AD41" s="111">
        <v>7.5</v>
      </c>
      <c r="AE41" s="111">
        <v>7.5</v>
      </c>
      <c r="AF41" s="111">
        <v>7.5</v>
      </c>
      <c r="AG41" s="111">
        <v>7.5</v>
      </c>
      <c r="AH41" s="163">
        <v>7.5</v>
      </c>
      <c r="AI41" s="111">
        <v>7.5</v>
      </c>
      <c r="AJ41" s="111">
        <v>7.5</v>
      </c>
      <c r="AK41" s="111">
        <v>7.5</v>
      </c>
      <c r="AL41" s="111">
        <v>7.5</v>
      </c>
      <c r="AM41" s="111">
        <v>7.5</v>
      </c>
      <c r="AN41" s="111">
        <v>7.5</v>
      </c>
      <c r="AO41" s="111">
        <v>7.5</v>
      </c>
      <c r="AP41" s="111">
        <v>7.5</v>
      </c>
      <c r="AQ41" s="111">
        <v>7.5</v>
      </c>
      <c r="AR41" s="111">
        <v>7.5</v>
      </c>
      <c r="AS41" s="111">
        <v>7.5</v>
      </c>
      <c r="AT41" s="111">
        <v>7.5</v>
      </c>
      <c r="AU41" s="111">
        <v>7.5</v>
      </c>
      <c r="AV41" s="111">
        <v>7.5</v>
      </c>
      <c r="AW41" s="111">
        <v>7.5</v>
      </c>
      <c r="AX41" s="111">
        <v>7.5</v>
      </c>
      <c r="AY41" s="111">
        <v>7.5</v>
      </c>
      <c r="AZ41" s="111">
        <v>7.5</v>
      </c>
      <c r="BA41" s="111">
        <v>7.5</v>
      </c>
      <c r="BB41" s="111">
        <v>7.5</v>
      </c>
      <c r="BC41" s="111">
        <v>7.5</v>
      </c>
      <c r="BD41" s="111">
        <v>7.5</v>
      </c>
      <c r="BE41" s="111">
        <v>7.5</v>
      </c>
      <c r="BF41" s="111">
        <v>7.5</v>
      </c>
      <c r="BG41" s="110">
        <v>7.5</v>
      </c>
      <c r="BH41" s="111">
        <v>7.5</v>
      </c>
      <c r="BI41" s="111">
        <v>7.5</v>
      </c>
      <c r="BJ41" s="111">
        <v>7.5</v>
      </c>
      <c r="BK41" s="111">
        <v>7.5</v>
      </c>
      <c r="BL41" s="112">
        <v>7.5</v>
      </c>
      <c r="BM41" s="165">
        <v>7.5</v>
      </c>
      <c r="BN41" s="111">
        <v>7.5</v>
      </c>
      <c r="BO41" s="111">
        <v>7.5</v>
      </c>
      <c r="BP41" s="111">
        <v>7.5</v>
      </c>
      <c r="BQ41" s="111">
        <v>7.5</v>
      </c>
      <c r="BR41" s="111">
        <v>7.5</v>
      </c>
      <c r="BS41" s="111">
        <v>7.5</v>
      </c>
      <c r="BT41" s="111">
        <v>7.5</v>
      </c>
      <c r="BU41" s="111">
        <v>7.5</v>
      </c>
      <c r="BV41" s="111">
        <v>7.5</v>
      </c>
      <c r="BW41" s="111">
        <v>7.5</v>
      </c>
      <c r="BX41" s="111">
        <v>7.5</v>
      </c>
      <c r="BY41" s="111">
        <v>7.5</v>
      </c>
      <c r="BZ41" s="111">
        <v>7.5</v>
      </c>
      <c r="CA41" s="111">
        <v>7.5</v>
      </c>
      <c r="CB41" s="111">
        <v>7.5</v>
      </c>
      <c r="CC41" s="111">
        <v>7.5</v>
      </c>
      <c r="CD41" s="111">
        <v>7.5</v>
      </c>
      <c r="CE41" s="111">
        <v>7.5</v>
      </c>
      <c r="CF41" s="111">
        <v>7.5</v>
      </c>
      <c r="CG41" s="111">
        <v>7.5</v>
      </c>
      <c r="CH41" s="111">
        <v>7.5</v>
      </c>
      <c r="CI41" s="111">
        <v>7.5</v>
      </c>
      <c r="CJ41" s="111">
        <v>7.5</v>
      </c>
      <c r="CK41" s="111">
        <v>7.5</v>
      </c>
      <c r="CL41" s="111">
        <v>7.5</v>
      </c>
      <c r="CM41" s="111">
        <v>7.5</v>
      </c>
      <c r="CN41" s="111">
        <v>7.5</v>
      </c>
      <c r="CO41" s="111">
        <v>7.5</v>
      </c>
      <c r="CP41" s="111">
        <v>7.5</v>
      </c>
      <c r="CQ41" s="112">
        <v>7.5</v>
      </c>
    </row>
    <row r="42" spans="1:95" x14ac:dyDescent="0.35">
      <c r="A42" s="206"/>
      <c r="B42" s="22" t="s">
        <v>13</v>
      </c>
      <c r="C42" s="223"/>
      <c r="D42" s="113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3"/>
      <c r="AB42" s="114"/>
      <c r="AC42" s="114"/>
      <c r="AD42" s="114"/>
      <c r="AE42" s="114"/>
      <c r="AF42" s="114"/>
      <c r="AG42" s="114"/>
      <c r="AH42" s="161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  <c r="BF42" s="114"/>
      <c r="BG42" s="113"/>
      <c r="BH42" s="114"/>
      <c r="BI42" s="114"/>
      <c r="BJ42" s="114"/>
      <c r="BK42" s="114"/>
      <c r="BL42" s="115"/>
      <c r="BM42" s="166"/>
      <c r="BN42" s="114"/>
      <c r="BO42" s="114"/>
      <c r="BP42" s="114"/>
      <c r="BQ42" s="114"/>
      <c r="BR42" s="114"/>
      <c r="BS42" s="114"/>
      <c r="BT42" s="114"/>
      <c r="BU42" s="114"/>
      <c r="BV42" s="114"/>
      <c r="BW42" s="114"/>
      <c r="BX42" s="114"/>
      <c r="BY42" s="114"/>
      <c r="BZ42" s="114"/>
      <c r="CA42" s="114"/>
      <c r="CB42" s="114"/>
      <c r="CC42" s="114"/>
      <c r="CD42" s="114"/>
      <c r="CE42" s="114"/>
      <c r="CF42" s="114"/>
      <c r="CG42" s="114"/>
      <c r="CH42" s="114"/>
      <c r="CI42" s="114"/>
      <c r="CJ42" s="114"/>
      <c r="CK42" s="114"/>
      <c r="CL42" s="114"/>
      <c r="CM42" s="114"/>
      <c r="CN42" s="114"/>
      <c r="CO42" s="114"/>
      <c r="CP42" s="114"/>
      <c r="CQ42" s="115"/>
    </row>
    <row r="43" spans="1:95" x14ac:dyDescent="0.35">
      <c r="A43" s="211" t="s">
        <v>14</v>
      </c>
      <c r="B43" s="22" t="s">
        <v>11</v>
      </c>
      <c r="C43" s="223"/>
      <c r="D43" s="113" t="s">
        <v>34</v>
      </c>
      <c r="E43" s="114" t="s">
        <v>34</v>
      </c>
      <c r="F43" s="114" t="s">
        <v>34</v>
      </c>
      <c r="G43" s="114" t="s">
        <v>34</v>
      </c>
      <c r="H43" s="114" t="s">
        <v>34</v>
      </c>
      <c r="I43" s="114" t="s">
        <v>34</v>
      </c>
      <c r="J43" s="114" t="s">
        <v>34</v>
      </c>
      <c r="K43" s="114" t="s">
        <v>34</v>
      </c>
      <c r="L43" s="114" t="s">
        <v>34</v>
      </c>
      <c r="M43" s="114" t="s">
        <v>34</v>
      </c>
      <c r="N43" s="114" t="s">
        <v>34</v>
      </c>
      <c r="O43" s="114" t="s">
        <v>34</v>
      </c>
      <c r="P43" s="114" t="s">
        <v>34</v>
      </c>
      <c r="Q43" s="114" t="s">
        <v>34</v>
      </c>
      <c r="R43" s="114" t="s">
        <v>34</v>
      </c>
      <c r="S43" s="114" t="s">
        <v>34</v>
      </c>
      <c r="T43" s="114" t="s">
        <v>34</v>
      </c>
      <c r="U43" s="114"/>
      <c r="V43" s="114" t="s">
        <v>34</v>
      </c>
      <c r="W43" s="114" t="s">
        <v>34</v>
      </c>
      <c r="X43" s="114" t="s">
        <v>34</v>
      </c>
      <c r="Y43" s="114" t="s">
        <v>34</v>
      </c>
      <c r="Z43" s="114" t="s">
        <v>34</v>
      </c>
      <c r="AA43" s="113" t="s">
        <v>34</v>
      </c>
      <c r="AB43" s="114" t="s">
        <v>34</v>
      </c>
      <c r="AC43" s="114" t="s">
        <v>34</v>
      </c>
      <c r="AD43" s="114" t="s">
        <v>34</v>
      </c>
      <c r="AE43" s="114" t="s">
        <v>34</v>
      </c>
      <c r="AF43" s="114" t="s">
        <v>34</v>
      </c>
      <c r="AG43" s="114" t="s">
        <v>34</v>
      </c>
      <c r="AH43" s="161" t="s">
        <v>34</v>
      </c>
      <c r="AI43" s="114" t="s">
        <v>34</v>
      </c>
      <c r="AJ43" s="114" t="s">
        <v>34</v>
      </c>
      <c r="AK43" s="114" t="s">
        <v>34</v>
      </c>
      <c r="AL43" s="114" t="s">
        <v>34</v>
      </c>
      <c r="AM43" s="114" t="s">
        <v>34</v>
      </c>
      <c r="AN43" s="114" t="s">
        <v>34</v>
      </c>
      <c r="AO43" s="114" t="s">
        <v>34</v>
      </c>
      <c r="AP43" s="114" t="s">
        <v>34</v>
      </c>
      <c r="AQ43" s="114" t="s">
        <v>34</v>
      </c>
      <c r="AR43" s="114" t="s">
        <v>34</v>
      </c>
      <c r="AS43" s="114" t="s">
        <v>34</v>
      </c>
      <c r="AT43" s="114" t="s">
        <v>34</v>
      </c>
      <c r="AU43" s="114" t="s">
        <v>34</v>
      </c>
      <c r="AV43" s="114" t="s">
        <v>34</v>
      </c>
      <c r="AW43" s="114" t="s">
        <v>34</v>
      </c>
      <c r="AX43" s="114" t="s">
        <v>34</v>
      </c>
      <c r="AY43" s="114" t="s">
        <v>34</v>
      </c>
      <c r="AZ43" s="114" t="s">
        <v>34</v>
      </c>
      <c r="BA43" s="114" t="s">
        <v>34</v>
      </c>
      <c r="BB43" s="114" t="s">
        <v>34</v>
      </c>
      <c r="BC43" s="114" t="s">
        <v>34</v>
      </c>
      <c r="BD43" s="114" t="s">
        <v>34</v>
      </c>
      <c r="BE43" s="114" t="s">
        <v>34</v>
      </c>
      <c r="BF43" s="114" t="s">
        <v>34</v>
      </c>
      <c r="BG43" s="113" t="s">
        <v>34</v>
      </c>
      <c r="BH43" s="114" t="s">
        <v>34</v>
      </c>
      <c r="BI43" s="114" t="s">
        <v>34</v>
      </c>
      <c r="BJ43" s="114" t="s">
        <v>34</v>
      </c>
      <c r="BK43" s="114" t="s">
        <v>34</v>
      </c>
      <c r="BL43" s="115" t="s">
        <v>34</v>
      </c>
      <c r="BM43" s="166" t="s">
        <v>34</v>
      </c>
      <c r="BN43" s="114" t="s">
        <v>34</v>
      </c>
      <c r="BO43" s="114" t="s">
        <v>34</v>
      </c>
      <c r="BP43" s="114" t="s">
        <v>34</v>
      </c>
      <c r="BQ43" s="114" t="s">
        <v>34</v>
      </c>
      <c r="BR43" s="114" t="s">
        <v>34</v>
      </c>
      <c r="BS43" s="114" t="s">
        <v>34</v>
      </c>
      <c r="BT43" s="114" t="s">
        <v>34</v>
      </c>
      <c r="BU43" s="114" t="s">
        <v>34</v>
      </c>
      <c r="BV43" s="114" t="s">
        <v>34</v>
      </c>
      <c r="BW43" s="114" t="s">
        <v>34</v>
      </c>
      <c r="BX43" s="114" t="s">
        <v>34</v>
      </c>
      <c r="BY43" s="114" t="s">
        <v>34</v>
      </c>
      <c r="BZ43" s="114" t="s">
        <v>34</v>
      </c>
      <c r="CA43" s="114" t="s">
        <v>34</v>
      </c>
      <c r="CB43" s="114" t="s">
        <v>34</v>
      </c>
      <c r="CC43" s="114" t="s">
        <v>34</v>
      </c>
      <c r="CD43" s="114" t="s">
        <v>34</v>
      </c>
      <c r="CE43" s="114" t="s">
        <v>34</v>
      </c>
      <c r="CF43" s="114" t="s">
        <v>34</v>
      </c>
      <c r="CG43" s="114" t="s">
        <v>34</v>
      </c>
      <c r="CH43" s="114" t="s">
        <v>34</v>
      </c>
      <c r="CI43" s="114" t="s">
        <v>34</v>
      </c>
      <c r="CJ43" s="114" t="s">
        <v>34</v>
      </c>
      <c r="CK43" s="114" t="s">
        <v>34</v>
      </c>
      <c r="CL43" s="114" t="s">
        <v>34</v>
      </c>
      <c r="CM43" s="114" t="s">
        <v>34</v>
      </c>
      <c r="CN43" s="114" t="s">
        <v>34</v>
      </c>
      <c r="CO43" s="114" t="s">
        <v>34</v>
      </c>
      <c r="CP43" s="114" t="s">
        <v>34</v>
      </c>
      <c r="CQ43" s="115" t="s">
        <v>34</v>
      </c>
    </row>
    <row r="44" spans="1:95" x14ac:dyDescent="0.35">
      <c r="A44" s="212"/>
      <c r="B44" s="22" t="s">
        <v>13</v>
      </c>
      <c r="C44" s="223"/>
      <c r="D44" s="113" t="s">
        <v>34</v>
      </c>
      <c r="E44" s="114" t="s">
        <v>34</v>
      </c>
      <c r="F44" s="114" t="s">
        <v>34</v>
      </c>
      <c r="G44" s="114" t="s">
        <v>34</v>
      </c>
      <c r="H44" s="114" t="s">
        <v>34</v>
      </c>
      <c r="I44" s="114" t="s">
        <v>34</v>
      </c>
      <c r="J44" s="114" t="s">
        <v>34</v>
      </c>
      <c r="K44" s="114" t="s">
        <v>34</v>
      </c>
      <c r="L44" s="114" t="s">
        <v>34</v>
      </c>
      <c r="M44" s="114" t="s">
        <v>34</v>
      </c>
      <c r="N44" s="114" t="s">
        <v>34</v>
      </c>
      <c r="O44" s="114" t="s">
        <v>34</v>
      </c>
      <c r="P44" s="114" t="s">
        <v>34</v>
      </c>
      <c r="Q44" s="114" t="s">
        <v>34</v>
      </c>
      <c r="R44" s="114" t="s">
        <v>34</v>
      </c>
      <c r="S44" s="114" t="s">
        <v>34</v>
      </c>
      <c r="T44" s="114" t="s">
        <v>34</v>
      </c>
      <c r="U44" s="114" t="s">
        <v>34</v>
      </c>
      <c r="V44" s="114" t="s">
        <v>34</v>
      </c>
      <c r="W44" s="114" t="s">
        <v>34</v>
      </c>
      <c r="X44" s="114" t="s">
        <v>34</v>
      </c>
      <c r="Y44" s="114" t="s">
        <v>34</v>
      </c>
      <c r="Z44" s="114" t="s">
        <v>34</v>
      </c>
      <c r="AA44" s="113" t="s">
        <v>34</v>
      </c>
      <c r="AB44" s="114" t="s">
        <v>34</v>
      </c>
      <c r="AC44" s="114" t="s">
        <v>34</v>
      </c>
      <c r="AD44" s="114" t="s">
        <v>34</v>
      </c>
      <c r="AE44" s="114" t="s">
        <v>34</v>
      </c>
      <c r="AF44" s="114" t="s">
        <v>34</v>
      </c>
      <c r="AG44" s="114" t="s">
        <v>34</v>
      </c>
      <c r="AH44" s="161" t="s">
        <v>34</v>
      </c>
      <c r="AI44" s="166" t="s">
        <v>34</v>
      </c>
      <c r="AJ44" s="114" t="s">
        <v>34</v>
      </c>
      <c r="AK44" s="114" t="s">
        <v>34</v>
      </c>
      <c r="AL44" s="114" t="s">
        <v>34</v>
      </c>
      <c r="AM44" s="114" t="s">
        <v>34</v>
      </c>
      <c r="AN44" s="114" t="s">
        <v>34</v>
      </c>
      <c r="AO44" s="114" t="s">
        <v>34</v>
      </c>
      <c r="AP44" s="114" t="s">
        <v>34</v>
      </c>
      <c r="AQ44" s="114" t="s">
        <v>34</v>
      </c>
      <c r="AR44" s="114" t="s">
        <v>34</v>
      </c>
      <c r="AS44" s="114" t="s">
        <v>34</v>
      </c>
      <c r="AT44" s="114" t="s">
        <v>34</v>
      </c>
      <c r="AU44" s="114" t="s">
        <v>34</v>
      </c>
      <c r="AV44" s="114" t="s">
        <v>34</v>
      </c>
      <c r="AW44" s="114" t="s">
        <v>34</v>
      </c>
      <c r="AX44" s="114" t="s">
        <v>34</v>
      </c>
      <c r="AY44" s="114" t="s">
        <v>34</v>
      </c>
      <c r="AZ44" s="114" t="s">
        <v>34</v>
      </c>
      <c r="BA44" s="114" t="s">
        <v>34</v>
      </c>
      <c r="BB44" s="114" t="s">
        <v>34</v>
      </c>
      <c r="BC44" s="114" t="s">
        <v>34</v>
      </c>
      <c r="BD44" s="114" t="s">
        <v>34</v>
      </c>
      <c r="BE44" s="114" t="s">
        <v>34</v>
      </c>
      <c r="BF44" s="114" t="s">
        <v>34</v>
      </c>
      <c r="BG44" s="113" t="s">
        <v>34</v>
      </c>
      <c r="BH44" s="114" t="s">
        <v>34</v>
      </c>
      <c r="BI44" s="114" t="s">
        <v>34</v>
      </c>
      <c r="BJ44" s="114" t="s">
        <v>34</v>
      </c>
      <c r="BK44" s="114" t="s">
        <v>34</v>
      </c>
      <c r="BL44" s="115" t="s">
        <v>34</v>
      </c>
      <c r="BM44" s="166" t="s">
        <v>34</v>
      </c>
      <c r="BN44" s="114" t="s">
        <v>34</v>
      </c>
      <c r="BO44" s="114" t="s">
        <v>34</v>
      </c>
      <c r="BP44" s="114" t="s">
        <v>34</v>
      </c>
      <c r="BQ44" s="114" t="s">
        <v>34</v>
      </c>
      <c r="BR44" s="114" t="s">
        <v>34</v>
      </c>
      <c r="BS44" s="114" t="s">
        <v>34</v>
      </c>
      <c r="BT44" s="114" t="s">
        <v>34</v>
      </c>
      <c r="BU44" s="114" t="s">
        <v>34</v>
      </c>
      <c r="BV44" s="114" t="s">
        <v>34</v>
      </c>
      <c r="BW44" s="114" t="s">
        <v>34</v>
      </c>
      <c r="BX44" s="114" t="s">
        <v>34</v>
      </c>
      <c r="BY44" s="114" t="s">
        <v>34</v>
      </c>
      <c r="BZ44" s="114" t="s">
        <v>34</v>
      </c>
      <c r="CA44" s="114" t="s">
        <v>34</v>
      </c>
      <c r="CB44" s="114" t="s">
        <v>34</v>
      </c>
      <c r="CC44" s="114" t="s">
        <v>34</v>
      </c>
      <c r="CD44" s="114" t="s">
        <v>34</v>
      </c>
      <c r="CE44" s="114" t="s">
        <v>34</v>
      </c>
      <c r="CF44" s="114" t="s">
        <v>34</v>
      </c>
      <c r="CG44" s="114" t="s">
        <v>34</v>
      </c>
      <c r="CH44" s="114" t="s">
        <v>34</v>
      </c>
      <c r="CI44" s="114" t="s">
        <v>34</v>
      </c>
      <c r="CJ44" s="114" t="s">
        <v>34</v>
      </c>
      <c r="CK44" s="114" t="s">
        <v>34</v>
      </c>
      <c r="CL44" s="114" t="s">
        <v>34</v>
      </c>
      <c r="CM44" s="114" t="s">
        <v>34</v>
      </c>
      <c r="CN44" s="114" t="s">
        <v>34</v>
      </c>
      <c r="CO44" s="114" t="s">
        <v>34</v>
      </c>
      <c r="CP44" s="114" t="s">
        <v>34</v>
      </c>
      <c r="CQ44" s="115" t="s">
        <v>34</v>
      </c>
    </row>
    <row r="45" spans="1:95" x14ac:dyDescent="0.35">
      <c r="A45" s="213" t="s">
        <v>35</v>
      </c>
      <c r="B45" s="22" t="s">
        <v>16</v>
      </c>
      <c r="C45" s="223"/>
      <c r="D45" s="108">
        <f t="shared" ref="D45:AT45" si="130">21+D46</f>
        <v>21</v>
      </c>
      <c r="E45" s="53">
        <f t="shared" si="130"/>
        <v>21</v>
      </c>
      <c r="F45" s="53">
        <f t="shared" si="130"/>
        <v>21</v>
      </c>
      <c r="G45" s="53">
        <f t="shared" si="130"/>
        <v>21</v>
      </c>
      <c r="H45" s="53">
        <f t="shared" si="130"/>
        <v>21</v>
      </c>
      <c r="I45" s="53">
        <f t="shared" si="130"/>
        <v>21</v>
      </c>
      <c r="J45" s="53">
        <f t="shared" si="130"/>
        <v>21</v>
      </c>
      <c r="K45" s="53">
        <f t="shared" si="130"/>
        <v>21</v>
      </c>
      <c r="L45" s="53">
        <f t="shared" si="130"/>
        <v>21</v>
      </c>
      <c r="M45" s="53">
        <f t="shared" si="130"/>
        <v>21</v>
      </c>
      <c r="N45" s="53">
        <f t="shared" si="130"/>
        <v>21</v>
      </c>
      <c r="O45" s="53">
        <f t="shared" si="130"/>
        <v>21</v>
      </c>
      <c r="P45" s="53">
        <f t="shared" si="130"/>
        <v>21</v>
      </c>
      <c r="Q45" s="53">
        <f t="shared" si="130"/>
        <v>21</v>
      </c>
      <c r="R45" s="53">
        <f t="shared" si="130"/>
        <v>21</v>
      </c>
      <c r="S45" s="53">
        <f t="shared" si="130"/>
        <v>21</v>
      </c>
      <c r="T45" s="53">
        <f t="shared" si="130"/>
        <v>21</v>
      </c>
      <c r="U45" s="53">
        <f t="shared" si="130"/>
        <v>21</v>
      </c>
      <c r="V45" s="53">
        <f t="shared" si="130"/>
        <v>21</v>
      </c>
      <c r="W45" s="53">
        <f t="shared" si="130"/>
        <v>21</v>
      </c>
      <c r="X45" s="53">
        <f t="shared" si="130"/>
        <v>21</v>
      </c>
      <c r="Y45" s="53">
        <f t="shared" si="130"/>
        <v>21</v>
      </c>
      <c r="Z45" s="53">
        <f t="shared" si="130"/>
        <v>21</v>
      </c>
      <c r="AA45" s="108">
        <f t="shared" si="130"/>
        <v>21</v>
      </c>
      <c r="AB45" s="53">
        <f t="shared" si="130"/>
        <v>21</v>
      </c>
      <c r="AC45" s="53">
        <f t="shared" si="130"/>
        <v>21</v>
      </c>
      <c r="AD45" s="53">
        <f t="shared" si="130"/>
        <v>21</v>
      </c>
      <c r="AE45" s="53">
        <f t="shared" si="130"/>
        <v>19</v>
      </c>
      <c r="AF45" s="53">
        <f t="shared" si="130"/>
        <v>21</v>
      </c>
      <c r="AG45" s="53">
        <f t="shared" si="130"/>
        <v>21</v>
      </c>
      <c r="AH45" s="55">
        <f t="shared" si="130"/>
        <v>21</v>
      </c>
      <c r="AI45" s="52">
        <f t="shared" si="130"/>
        <v>21</v>
      </c>
      <c r="AJ45" s="53">
        <f t="shared" si="130"/>
        <v>18</v>
      </c>
      <c r="AK45" s="53">
        <f t="shared" si="130"/>
        <v>18</v>
      </c>
      <c r="AL45" s="53">
        <f t="shared" si="130"/>
        <v>18</v>
      </c>
      <c r="AM45" s="53">
        <f t="shared" si="130"/>
        <v>21</v>
      </c>
      <c r="AN45" s="53">
        <f t="shared" si="130"/>
        <v>21</v>
      </c>
      <c r="AO45" s="53">
        <f t="shared" si="130"/>
        <v>21</v>
      </c>
      <c r="AP45" s="53">
        <f t="shared" si="130"/>
        <v>21</v>
      </c>
      <c r="AQ45" s="53">
        <f t="shared" si="130"/>
        <v>19</v>
      </c>
      <c r="AR45" s="53">
        <f t="shared" si="130"/>
        <v>21</v>
      </c>
      <c r="AS45" s="53">
        <f t="shared" si="130"/>
        <v>21</v>
      </c>
      <c r="AT45" s="53">
        <f t="shared" si="130"/>
        <v>21</v>
      </c>
      <c r="AU45" s="53">
        <f t="shared" ref="AU45:CQ45" si="131">21+AU46</f>
        <v>21</v>
      </c>
      <c r="AV45" s="53">
        <f t="shared" si="131"/>
        <v>21</v>
      </c>
      <c r="AW45" s="53">
        <f t="shared" si="131"/>
        <v>21</v>
      </c>
      <c r="AX45" s="53">
        <f t="shared" si="131"/>
        <v>21</v>
      </c>
      <c r="AY45" s="53">
        <f t="shared" si="131"/>
        <v>21</v>
      </c>
      <c r="AZ45" s="53">
        <f t="shared" si="131"/>
        <v>21</v>
      </c>
      <c r="BA45" s="53">
        <f t="shared" si="131"/>
        <v>21</v>
      </c>
      <c r="BB45" s="53">
        <f t="shared" si="131"/>
        <v>21</v>
      </c>
      <c r="BC45" s="53">
        <f t="shared" si="131"/>
        <v>21</v>
      </c>
      <c r="BD45" s="53">
        <f t="shared" si="131"/>
        <v>21</v>
      </c>
      <c r="BE45" s="53">
        <f t="shared" si="131"/>
        <v>21</v>
      </c>
      <c r="BF45" s="53">
        <f t="shared" si="131"/>
        <v>13</v>
      </c>
      <c r="BG45" s="53">
        <f t="shared" si="131"/>
        <v>13</v>
      </c>
      <c r="BH45" s="53">
        <f t="shared" si="131"/>
        <v>13</v>
      </c>
      <c r="BI45" s="53">
        <f t="shared" si="131"/>
        <v>21</v>
      </c>
      <c r="BJ45" s="53">
        <f t="shared" si="131"/>
        <v>21</v>
      </c>
      <c r="BK45" s="53">
        <f t="shared" si="131"/>
        <v>21</v>
      </c>
      <c r="BL45" s="54">
        <f t="shared" si="131"/>
        <v>21</v>
      </c>
      <c r="BM45" s="52">
        <f t="shared" si="131"/>
        <v>21</v>
      </c>
      <c r="BN45" s="53">
        <f t="shared" si="131"/>
        <v>21</v>
      </c>
      <c r="BO45" s="53">
        <f t="shared" si="131"/>
        <v>21</v>
      </c>
      <c r="BP45" s="53">
        <f t="shared" si="131"/>
        <v>21</v>
      </c>
      <c r="BQ45" s="53">
        <f t="shared" si="131"/>
        <v>21</v>
      </c>
      <c r="BR45" s="53">
        <f t="shared" si="131"/>
        <v>21</v>
      </c>
      <c r="BS45" s="53">
        <f t="shared" si="131"/>
        <v>21</v>
      </c>
      <c r="BT45" s="53">
        <f t="shared" si="131"/>
        <v>19</v>
      </c>
      <c r="BU45" s="53">
        <f t="shared" si="131"/>
        <v>21</v>
      </c>
      <c r="BV45" s="53">
        <f t="shared" si="131"/>
        <v>21</v>
      </c>
      <c r="BW45" s="53">
        <f t="shared" si="131"/>
        <v>21</v>
      </c>
      <c r="BX45" s="53">
        <f t="shared" si="131"/>
        <v>21</v>
      </c>
      <c r="BY45" s="53">
        <f t="shared" si="131"/>
        <v>21</v>
      </c>
      <c r="BZ45" s="53">
        <f t="shared" si="131"/>
        <v>21</v>
      </c>
      <c r="CA45" s="53">
        <f t="shared" si="131"/>
        <v>21</v>
      </c>
      <c r="CB45" s="53">
        <f t="shared" si="131"/>
        <v>21</v>
      </c>
      <c r="CC45" s="53">
        <f t="shared" si="131"/>
        <v>21</v>
      </c>
      <c r="CD45" s="53">
        <f t="shared" si="131"/>
        <v>21</v>
      </c>
      <c r="CE45" s="53">
        <f t="shared" si="131"/>
        <v>21</v>
      </c>
      <c r="CF45" s="53">
        <f t="shared" si="131"/>
        <v>21</v>
      </c>
      <c r="CG45" s="53">
        <f t="shared" si="131"/>
        <v>21</v>
      </c>
      <c r="CH45" s="53">
        <f t="shared" si="131"/>
        <v>21</v>
      </c>
      <c r="CI45" s="53">
        <f t="shared" si="131"/>
        <v>21</v>
      </c>
      <c r="CJ45" s="53">
        <f t="shared" si="131"/>
        <v>21</v>
      </c>
      <c r="CK45" s="53">
        <f t="shared" si="131"/>
        <v>21</v>
      </c>
      <c r="CL45" s="53">
        <f t="shared" si="131"/>
        <v>21</v>
      </c>
      <c r="CM45" s="53">
        <f t="shared" si="131"/>
        <v>21</v>
      </c>
      <c r="CN45" s="53">
        <f t="shared" si="131"/>
        <v>21</v>
      </c>
      <c r="CO45" s="53">
        <f t="shared" si="131"/>
        <v>21</v>
      </c>
      <c r="CP45" s="53">
        <f t="shared" si="131"/>
        <v>21</v>
      </c>
      <c r="CQ45" s="54">
        <f t="shared" si="131"/>
        <v>21</v>
      </c>
    </row>
    <row r="46" spans="1:95" x14ac:dyDescent="0.35">
      <c r="A46" s="214"/>
      <c r="B46" s="22" t="s">
        <v>17</v>
      </c>
      <c r="C46" s="223"/>
      <c r="D46" s="106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106"/>
      <c r="AB46" s="49"/>
      <c r="AC46" s="49"/>
      <c r="AD46" s="49"/>
      <c r="AE46" s="103">
        <v>-2</v>
      </c>
      <c r="AF46" s="49"/>
      <c r="AG46" s="49"/>
      <c r="AH46" s="51"/>
      <c r="AI46" s="48"/>
      <c r="AJ46" s="103">
        <v>-3</v>
      </c>
      <c r="AK46" s="103">
        <v>-3</v>
      </c>
      <c r="AL46" s="103">
        <v>-3</v>
      </c>
      <c r="AM46" s="49"/>
      <c r="AN46" s="49"/>
      <c r="AO46" s="49"/>
      <c r="AP46" s="49"/>
      <c r="AQ46" s="103">
        <v>-2</v>
      </c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103">
        <v>-8</v>
      </c>
      <c r="BG46" s="103">
        <v>-8</v>
      </c>
      <c r="BH46" s="103">
        <v>-8</v>
      </c>
      <c r="BI46" s="49"/>
      <c r="BJ46" s="49"/>
      <c r="BK46" s="49"/>
      <c r="BL46" s="50"/>
      <c r="BM46" s="48"/>
      <c r="BN46" s="49"/>
      <c r="BO46" s="49"/>
      <c r="BP46" s="49"/>
      <c r="BQ46" s="49"/>
      <c r="BR46" s="49"/>
      <c r="BS46" s="49"/>
      <c r="BT46" s="103">
        <v>-2</v>
      </c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50"/>
    </row>
    <row r="47" spans="1:95" x14ac:dyDescent="0.35">
      <c r="A47" s="205" t="s">
        <v>36</v>
      </c>
      <c r="B47" s="22" t="s">
        <v>16</v>
      </c>
      <c r="C47" s="223"/>
      <c r="D47" s="106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51"/>
      <c r="AI47" s="48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50"/>
      <c r="BM47" s="48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50"/>
    </row>
    <row r="48" spans="1:95" x14ac:dyDescent="0.35">
      <c r="A48" s="206"/>
      <c r="B48" s="22" t="s">
        <v>17</v>
      </c>
      <c r="C48" s="223"/>
      <c r="D48" s="106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51"/>
      <c r="AI48" s="48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50"/>
      <c r="BM48" s="48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50"/>
    </row>
    <row r="49" spans="1:95" x14ac:dyDescent="0.35">
      <c r="A49" s="205" t="s">
        <v>37</v>
      </c>
      <c r="B49" s="22" t="s">
        <v>16</v>
      </c>
      <c r="C49" s="223"/>
      <c r="D49" s="106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51"/>
      <c r="AI49" s="48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50"/>
      <c r="BM49" s="48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50"/>
    </row>
    <row r="50" spans="1:95" x14ac:dyDescent="0.35">
      <c r="A50" s="206"/>
      <c r="B50" s="22" t="s">
        <v>17</v>
      </c>
      <c r="C50" s="223"/>
      <c r="D50" s="198">
        <v>-1.3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>
        <v>-2</v>
      </c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51"/>
      <c r="AI50" s="48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50"/>
      <c r="BM50" s="48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50"/>
    </row>
    <row r="51" spans="1:95" x14ac:dyDescent="0.35">
      <c r="A51" s="205" t="s">
        <v>38</v>
      </c>
      <c r="B51" s="22" t="s">
        <v>16</v>
      </c>
      <c r="C51" s="223"/>
      <c r="D51" s="106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51"/>
      <c r="AI51" s="48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50"/>
      <c r="BM51" s="48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50"/>
    </row>
    <row r="52" spans="1:95" x14ac:dyDescent="0.35">
      <c r="A52" s="206"/>
      <c r="B52" s="22" t="s">
        <v>17</v>
      </c>
      <c r="C52" s="223"/>
      <c r="D52" s="106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51"/>
      <c r="AI52" s="48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50"/>
      <c r="BM52" s="48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50"/>
    </row>
    <row r="53" spans="1:95" x14ac:dyDescent="0.35">
      <c r="A53" s="205" t="s">
        <v>39</v>
      </c>
      <c r="B53" s="22" t="s">
        <v>16</v>
      </c>
      <c r="C53" s="223"/>
      <c r="D53" s="106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51"/>
      <c r="AI53" s="48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50"/>
      <c r="BM53" s="48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50"/>
    </row>
    <row r="54" spans="1:95" x14ac:dyDescent="0.35">
      <c r="A54" s="206"/>
      <c r="B54" s="22" t="s">
        <v>17</v>
      </c>
      <c r="C54" s="223"/>
      <c r="D54" s="106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51"/>
      <c r="AI54" s="48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50"/>
      <c r="BM54" s="48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50"/>
    </row>
    <row r="55" spans="1:95" x14ac:dyDescent="0.35">
      <c r="A55" s="205" t="s">
        <v>40</v>
      </c>
      <c r="B55" s="22" t="s">
        <v>16</v>
      </c>
      <c r="C55" s="223"/>
      <c r="D55" s="106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51"/>
      <c r="AI55" s="48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50"/>
      <c r="BM55" s="48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50"/>
    </row>
    <row r="56" spans="1:95" x14ac:dyDescent="0.35">
      <c r="A56" s="206"/>
      <c r="B56" s="22" t="s">
        <v>17</v>
      </c>
      <c r="C56" s="223"/>
      <c r="D56" s="106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51"/>
      <c r="AI56" s="48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50"/>
      <c r="BM56" s="48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50"/>
    </row>
    <row r="57" spans="1:95" x14ac:dyDescent="0.35">
      <c r="A57" s="205" t="s">
        <v>18</v>
      </c>
      <c r="B57" s="22" t="s">
        <v>16</v>
      </c>
      <c r="C57" s="223"/>
      <c r="D57" s="108">
        <f t="shared" ref="D57:V57" si="132">14.5+D58</f>
        <v>14.09</v>
      </c>
      <c r="E57" s="53">
        <f t="shared" si="132"/>
        <v>14.11</v>
      </c>
      <c r="F57" s="53">
        <f t="shared" si="132"/>
        <v>14.13</v>
      </c>
      <c r="G57" s="53">
        <f t="shared" si="132"/>
        <v>14.04</v>
      </c>
      <c r="H57" s="53">
        <f t="shared" si="132"/>
        <v>14.06</v>
      </c>
      <c r="I57" s="53">
        <f t="shared" si="132"/>
        <v>13.57</v>
      </c>
      <c r="J57" s="53">
        <f t="shared" si="132"/>
        <v>12.91</v>
      </c>
      <c r="K57" s="53">
        <f t="shared" si="132"/>
        <v>12.93</v>
      </c>
      <c r="L57" s="53">
        <f t="shared" si="132"/>
        <v>12.95</v>
      </c>
      <c r="M57" s="53">
        <f t="shared" si="132"/>
        <v>12.96</v>
      </c>
      <c r="N57" s="53">
        <f t="shared" si="132"/>
        <v>12.98</v>
      </c>
      <c r="O57" s="53">
        <f t="shared" si="132"/>
        <v>13</v>
      </c>
      <c r="P57" s="53">
        <f t="shared" si="132"/>
        <v>13.01</v>
      </c>
      <c r="Q57" s="53">
        <f t="shared" si="132"/>
        <v>10.72</v>
      </c>
      <c r="R57" s="53">
        <f t="shared" si="132"/>
        <v>13.3</v>
      </c>
      <c r="S57" s="53">
        <f t="shared" si="132"/>
        <v>13.31</v>
      </c>
      <c r="T57" s="53">
        <f t="shared" si="132"/>
        <v>13.33</v>
      </c>
      <c r="U57" s="53">
        <f t="shared" si="132"/>
        <v>13.35</v>
      </c>
      <c r="V57" s="53">
        <f t="shared" si="132"/>
        <v>13.36</v>
      </c>
      <c r="W57" s="53">
        <f t="shared" ref="W57:CH57" si="133">14.5+W58</f>
        <v>13.379999999999999</v>
      </c>
      <c r="X57" s="53">
        <f t="shared" si="133"/>
        <v>13.4</v>
      </c>
      <c r="Y57" s="53">
        <f t="shared" si="133"/>
        <v>13.41</v>
      </c>
      <c r="Z57" s="53">
        <f t="shared" si="133"/>
        <v>13.43</v>
      </c>
      <c r="AA57" s="53">
        <f t="shared" si="133"/>
        <v>13.45</v>
      </c>
      <c r="AB57" s="53">
        <f t="shared" si="133"/>
        <v>13.46</v>
      </c>
      <c r="AC57" s="53">
        <f t="shared" si="133"/>
        <v>13.48</v>
      </c>
      <c r="AD57" s="53">
        <f t="shared" si="133"/>
        <v>13.5</v>
      </c>
      <c r="AE57" s="53">
        <f t="shared" si="133"/>
        <v>13.51</v>
      </c>
      <c r="AF57" s="53">
        <f t="shared" si="133"/>
        <v>13.53</v>
      </c>
      <c r="AG57" s="53">
        <f t="shared" si="133"/>
        <v>13.55</v>
      </c>
      <c r="AH57" s="55">
        <f t="shared" si="133"/>
        <v>13.57</v>
      </c>
      <c r="AI57" s="52">
        <f t="shared" si="133"/>
        <v>13.58</v>
      </c>
      <c r="AJ57" s="53">
        <f t="shared" si="133"/>
        <v>13.6</v>
      </c>
      <c r="AK57" s="53">
        <f t="shared" si="133"/>
        <v>13.62</v>
      </c>
      <c r="AL57" s="53">
        <f t="shared" si="133"/>
        <v>13.63</v>
      </c>
      <c r="AM57" s="53">
        <f t="shared" si="133"/>
        <v>13.01</v>
      </c>
      <c r="AN57" s="53">
        <f t="shared" si="133"/>
        <v>13.65</v>
      </c>
      <c r="AO57" s="53">
        <f t="shared" si="133"/>
        <v>13.68</v>
      </c>
      <c r="AP57" s="53">
        <f t="shared" si="133"/>
        <v>13.7</v>
      </c>
      <c r="AQ57" s="53">
        <f t="shared" si="133"/>
        <v>13.72</v>
      </c>
      <c r="AR57" s="53">
        <f t="shared" si="133"/>
        <v>13.72</v>
      </c>
      <c r="AS57" s="53">
        <f t="shared" si="133"/>
        <v>14.17</v>
      </c>
      <c r="AT57" s="53">
        <f t="shared" si="133"/>
        <v>14.19</v>
      </c>
      <c r="AU57" s="53">
        <f t="shared" si="133"/>
        <v>14.2</v>
      </c>
      <c r="AV57" s="53">
        <f t="shared" si="133"/>
        <v>14.22</v>
      </c>
      <c r="AW57" s="53">
        <f t="shared" si="133"/>
        <v>14.24</v>
      </c>
      <c r="AX57" s="53">
        <f t="shared" si="133"/>
        <v>14.25</v>
      </c>
      <c r="AY57" s="53">
        <f t="shared" si="133"/>
        <v>14.27</v>
      </c>
      <c r="AZ57" s="53">
        <f t="shared" si="133"/>
        <v>14.3</v>
      </c>
      <c r="BA57" s="53">
        <f t="shared" si="133"/>
        <v>14.32</v>
      </c>
      <c r="BB57" s="53">
        <f t="shared" si="133"/>
        <v>14.34</v>
      </c>
      <c r="BC57" s="53">
        <f t="shared" si="133"/>
        <v>14.35</v>
      </c>
      <c r="BD57" s="53">
        <f t="shared" si="133"/>
        <v>14.35</v>
      </c>
      <c r="BE57" s="53">
        <f t="shared" si="133"/>
        <v>14.37</v>
      </c>
      <c r="BF57" s="53">
        <f t="shared" si="133"/>
        <v>14.37</v>
      </c>
      <c r="BG57" s="53">
        <f t="shared" si="133"/>
        <v>14.37</v>
      </c>
      <c r="BH57" s="53">
        <f t="shared" si="133"/>
        <v>14.37</v>
      </c>
      <c r="BI57" s="53">
        <f t="shared" si="133"/>
        <v>14.37</v>
      </c>
      <c r="BJ57" s="53">
        <f t="shared" si="133"/>
        <v>14.37</v>
      </c>
      <c r="BK57" s="53">
        <f t="shared" si="133"/>
        <v>14.37</v>
      </c>
      <c r="BL57" s="54">
        <f t="shared" si="133"/>
        <v>14.37</v>
      </c>
      <c r="BM57" s="52">
        <f t="shared" si="133"/>
        <v>14.5</v>
      </c>
      <c r="BN57" s="53">
        <f t="shared" si="133"/>
        <v>14.5</v>
      </c>
      <c r="BO57" s="53">
        <f t="shared" si="133"/>
        <v>14.5</v>
      </c>
      <c r="BP57" s="53">
        <f t="shared" si="133"/>
        <v>14.5</v>
      </c>
      <c r="BQ57" s="53">
        <f t="shared" si="133"/>
        <v>14.5</v>
      </c>
      <c r="BR57" s="53">
        <f t="shared" si="133"/>
        <v>14.5</v>
      </c>
      <c r="BS57" s="53">
        <f t="shared" si="133"/>
        <v>14.5</v>
      </c>
      <c r="BT57" s="53">
        <f t="shared" si="133"/>
        <v>14.5</v>
      </c>
      <c r="BU57" s="53">
        <f t="shared" si="133"/>
        <v>14.5</v>
      </c>
      <c r="BV57" s="53">
        <f t="shared" si="133"/>
        <v>14.5</v>
      </c>
      <c r="BW57" s="53">
        <f t="shared" si="133"/>
        <v>14.5</v>
      </c>
      <c r="BX57" s="53">
        <f t="shared" si="133"/>
        <v>14.5</v>
      </c>
      <c r="BY57" s="53">
        <f t="shared" si="133"/>
        <v>14.5</v>
      </c>
      <c r="BZ57" s="53">
        <f t="shared" si="133"/>
        <v>14.5</v>
      </c>
      <c r="CA57" s="53">
        <f t="shared" si="133"/>
        <v>14.5</v>
      </c>
      <c r="CB57" s="53">
        <f t="shared" si="133"/>
        <v>14.5</v>
      </c>
      <c r="CC57" s="53">
        <f t="shared" si="133"/>
        <v>14.5</v>
      </c>
      <c r="CD57" s="53">
        <f t="shared" si="133"/>
        <v>14.5</v>
      </c>
      <c r="CE57" s="53">
        <f t="shared" si="133"/>
        <v>14.5</v>
      </c>
      <c r="CF57" s="53">
        <f t="shared" si="133"/>
        <v>14.5</v>
      </c>
      <c r="CG57" s="53">
        <f t="shared" si="133"/>
        <v>14.5</v>
      </c>
      <c r="CH57" s="53">
        <f t="shared" si="133"/>
        <v>14.5</v>
      </c>
      <c r="CI57" s="53">
        <f t="shared" ref="CI57:CQ57" si="134">14.5+CI58</f>
        <v>14.5</v>
      </c>
      <c r="CJ57" s="53">
        <f t="shared" si="134"/>
        <v>14.5</v>
      </c>
      <c r="CK57" s="53">
        <f t="shared" si="134"/>
        <v>14.5</v>
      </c>
      <c r="CL57" s="53">
        <f t="shared" si="134"/>
        <v>14.5</v>
      </c>
      <c r="CM57" s="53">
        <f t="shared" si="134"/>
        <v>14.5</v>
      </c>
      <c r="CN57" s="53">
        <f t="shared" si="134"/>
        <v>14.5</v>
      </c>
      <c r="CO57" s="53">
        <f t="shared" si="134"/>
        <v>14.5</v>
      </c>
      <c r="CP57" s="53">
        <f t="shared" si="134"/>
        <v>14.5</v>
      </c>
      <c r="CQ57" s="54">
        <f t="shared" si="134"/>
        <v>14.5</v>
      </c>
    </row>
    <row r="58" spans="1:95" x14ac:dyDescent="0.35">
      <c r="A58" s="206"/>
      <c r="B58" s="22" t="s">
        <v>17</v>
      </c>
      <c r="C58" s="223"/>
      <c r="D58" s="103">
        <v>-0.41</v>
      </c>
      <c r="E58" s="103">
        <v>-0.39</v>
      </c>
      <c r="F58" s="103">
        <v>-0.37</v>
      </c>
      <c r="G58" s="103">
        <v>-0.46</v>
      </c>
      <c r="H58" s="103">
        <v>-0.44</v>
      </c>
      <c r="I58" s="103">
        <v>-0.93</v>
      </c>
      <c r="J58" s="103">
        <v>-1.59</v>
      </c>
      <c r="K58" s="103">
        <v>-1.57</v>
      </c>
      <c r="L58" s="103">
        <v>-1.55</v>
      </c>
      <c r="M58" s="103">
        <v>-1.54</v>
      </c>
      <c r="N58" s="103">
        <v>-1.52</v>
      </c>
      <c r="O58" s="103">
        <v>-1.5</v>
      </c>
      <c r="P58" s="103">
        <v>-1.49</v>
      </c>
      <c r="Q58" s="159">
        <v>-3.78</v>
      </c>
      <c r="R58" s="103">
        <v>-1.2</v>
      </c>
      <c r="S58" s="103">
        <v>-1.19</v>
      </c>
      <c r="T58" s="103">
        <v>-1.17</v>
      </c>
      <c r="U58" s="103">
        <v>-1.1499999999999999</v>
      </c>
      <c r="V58" s="103">
        <v>-1.1399999999999999</v>
      </c>
      <c r="W58" s="103">
        <v>-1.1200000000000001</v>
      </c>
      <c r="X58" s="103">
        <v>-1.1000000000000001</v>
      </c>
      <c r="Y58" s="103">
        <v>-1.0900000000000001</v>
      </c>
      <c r="Z58" s="103">
        <v>-1.07</v>
      </c>
      <c r="AA58" s="103">
        <v>-1.05</v>
      </c>
      <c r="AB58" s="103">
        <v>-1.04</v>
      </c>
      <c r="AC58" s="103">
        <v>-1.02</v>
      </c>
      <c r="AD58" s="103">
        <v>-1</v>
      </c>
      <c r="AE58" s="103">
        <v>-0.99</v>
      </c>
      <c r="AF58" s="103">
        <v>-0.97</v>
      </c>
      <c r="AG58" s="103">
        <v>-0.95</v>
      </c>
      <c r="AH58" s="103">
        <v>-0.93</v>
      </c>
      <c r="AI58" s="103">
        <v>-0.92</v>
      </c>
      <c r="AJ58" s="103">
        <v>-0.9</v>
      </c>
      <c r="AK58" s="103">
        <v>-0.88</v>
      </c>
      <c r="AL58" s="103">
        <v>-0.87</v>
      </c>
      <c r="AM58" s="103">
        <v>-1.49</v>
      </c>
      <c r="AN58" s="103">
        <v>-0.85</v>
      </c>
      <c r="AO58" s="103">
        <v>-0.82</v>
      </c>
      <c r="AP58" s="103">
        <v>-0.8</v>
      </c>
      <c r="AQ58" s="103">
        <v>-0.78</v>
      </c>
      <c r="AR58" s="103">
        <v>-0.78</v>
      </c>
      <c r="AS58" s="103">
        <v>-0.33</v>
      </c>
      <c r="AT58" s="103">
        <v>-0.31</v>
      </c>
      <c r="AU58" s="103">
        <v>-0.3</v>
      </c>
      <c r="AV58" s="103">
        <v>-0.28000000000000003</v>
      </c>
      <c r="AW58" s="103">
        <v>-0.26</v>
      </c>
      <c r="AX58" s="103">
        <v>-0.25</v>
      </c>
      <c r="AY58" s="103">
        <v>-0.23</v>
      </c>
      <c r="AZ58" s="103">
        <v>-0.2</v>
      </c>
      <c r="BA58" s="103">
        <v>-0.18</v>
      </c>
      <c r="BB58" s="103">
        <v>-0.16</v>
      </c>
      <c r="BC58" s="103">
        <v>-0.15</v>
      </c>
      <c r="BD58" s="103">
        <v>-0.15</v>
      </c>
      <c r="BE58" s="103">
        <v>-0.13</v>
      </c>
      <c r="BF58" s="103">
        <v>-0.13</v>
      </c>
      <c r="BG58" s="103">
        <v>-0.13</v>
      </c>
      <c r="BH58" s="103">
        <v>-0.13</v>
      </c>
      <c r="BI58" s="103">
        <v>-0.13</v>
      </c>
      <c r="BJ58" s="103">
        <v>-0.13</v>
      </c>
      <c r="BK58" s="103">
        <v>-0.13</v>
      </c>
      <c r="BL58" s="103">
        <v>-0.13</v>
      </c>
      <c r="BM58" s="61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62"/>
    </row>
    <row r="59" spans="1:95" ht="14.5" hidden="1" customHeight="1" x14ac:dyDescent="0.35">
      <c r="C59" s="209"/>
      <c r="AI59" s="157"/>
      <c r="BL59" s="158"/>
      <c r="BM59" s="157"/>
      <c r="CQ59" s="158"/>
    </row>
    <row r="60" spans="1:95" ht="14.5" hidden="1" customHeight="1" x14ac:dyDescent="0.35">
      <c r="C60" s="209"/>
      <c r="AI60" s="157"/>
      <c r="BL60" s="158"/>
      <c r="BM60" s="157"/>
      <c r="CQ60" s="158"/>
    </row>
    <row r="61" spans="1:95" x14ac:dyDescent="0.35">
      <c r="A61" s="213" t="s">
        <v>41</v>
      </c>
      <c r="B61" s="22" t="s">
        <v>16</v>
      </c>
      <c r="C61" s="223"/>
      <c r="D61" s="108">
        <f t="shared" ref="D61:V61" si="135">7.5+D62</f>
        <v>7.5</v>
      </c>
      <c r="E61" s="53">
        <f t="shared" si="135"/>
        <v>7.5</v>
      </c>
      <c r="F61" s="53">
        <f t="shared" si="135"/>
        <v>7.5</v>
      </c>
      <c r="G61" s="53">
        <f t="shared" si="135"/>
        <v>7.5</v>
      </c>
      <c r="H61" s="53">
        <f t="shared" si="135"/>
        <v>7.5</v>
      </c>
      <c r="I61" s="53">
        <f t="shared" si="135"/>
        <v>7.5</v>
      </c>
      <c r="J61" s="53">
        <f t="shared" si="135"/>
        <v>7.5</v>
      </c>
      <c r="K61" s="53">
        <f t="shared" si="135"/>
        <v>7.5</v>
      </c>
      <c r="L61" s="53">
        <f t="shared" si="135"/>
        <v>7.5</v>
      </c>
      <c r="M61" s="53">
        <f t="shared" si="135"/>
        <v>7.5</v>
      </c>
      <c r="N61" s="53">
        <f t="shared" si="135"/>
        <v>7.5</v>
      </c>
      <c r="O61" s="53">
        <f t="shared" si="135"/>
        <v>7.5</v>
      </c>
      <c r="P61" s="53">
        <f t="shared" si="135"/>
        <v>7.5</v>
      </c>
      <c r="Q61" s="53">
        <f t="shared" si="135"/>
        <v>7.5</v>
      </c>
      <c r="R61" s="53">
        <f t="shared" si="135"/>
        <v>7.5</v>
      </c>
      <c r="S61" s="53">
        <f t="shared" si="135"/>
        <v>7.5</v>
      </c>
      <c r="T61" s="53">
        <f t="shared" si="135"/>
        <v>7.5</v>
      </c>
      <c r="U61" s="53">
        <f t="shared" si="135"/>
        <v>7.5</v>
      </c>
      <c r="V61" s="53">
        <f t="shared" si="135"/>
        <v>7.5</v>
      </c>
      <c r="W61" s="53">
        <f t="shared" ref="W61:CH61" si="136">7.5+W62</f>
        <v>7.5</v>
      </c>
      <c r="X61" s="53">
        <f t="shared" si="136"/>
        <v>7.5</v>
      </c>
      <c r="Y61" s="53">
        <f t="shared" si="136"/>
        <v>7.5</v>
      </c>
      <c r="Z61" s="53">
        <f t="shared" si="136"/>
        <v>7.5</v>
      </c>
      <c r="AA61" s="53">
        <f t="shared" si="136"/>
        <v>7.5</v>
      </c>
      <c r="AB61" s="53">
        <f t="shared" si="136"/>
        <v>7.5</v>
      </c>
      <c r="AC61" s="53">
        <f t="shared" si="136"/>
        <v>7.5</v>
      </c>
      <c r="AD61" s="53">
        <f t="shared" si="136"/>
        <v>7.5</v>
      </c>
      <c r="AE61" s="53">
        <f t="shared" si="136"/>
        <v>7.5</v>
      </c>
      <c r="AF61" s="53">
        <f t="shared" si="136"/>
        <v>7.5</v>
      </c>
      <c r="AG61" s="53">
        <f t="shared" si="136"/>
        <v>7.5</v>
      </c>
      <c r="AH61" s="55">
        <f t="shared" si="136"/>
        <v>7.5</v>
      </c>
      <c r="AI61" s="52">
        <f t="shared" si="136"/>
        <v>7.5</v>
      </c>
      <c r="AJ61" s="53">
        <f t="shared" si="136"/>
        <v>7.5</v>
      </c>
      <c r="AK61" s="53">
        <f t="shared" si="136"/>
        <v>7.5</v>
      </c>
      <c r="AL61" s="53">
        <f t="shared" si="136"/>
        <v>7.5</v>
      </c>
      <c r="AM61" s="53">
        <f t="shared" si="136"/>
        <v>7.5</v>
      </c>
      <c r="AN61" s="53">
        <f t="shared" si="136"/>
        <v>7.5</v>
      </c>
      <c r="AO61" s="53">
        <f t="shared" si="136"/>
        <v>7.5</v>
      </c>
      <c r="AP61" s="53">
        <f t="shared" si="136"/>
        <v>7.5</v>
      </c>
      <c r="AQ61" s="53">
        <f t="shared" si="136"/>
        <v>7.5</v>
      </c>
      <c r="AR61" s="53">
        <f t="shared" si="136"/>
        <v>7.5</v>
      </c>
      <c r="AS61" s="53">
        <f t="shared" si="136"/>
        <v>7.5</v>
      </c>
      <c r="AT61" s="53">
        <f t="shared" si="136"/>
        <v>7.5</v>
      </c>
      <c r="AU61" s="53">
        <f t="shared" si="136"/>
        <v>7.5</v>
      </c>
      <c r="AV61" s="53">
        <f t="shared" si="136"/>
        <v>7.5</v>
      </c>
      <c r="AW61" s="53">
        <f t="shared" si="136"/>
        <v>7.5</v>
      </c>
      <c r="AX61" s="53">
        <f t="shared" si="136"/>
        <v>7.5</v>
      </c>
      <c r="AY61" s="53">
        <f t="shared" si="136"/>
        <v>7.5</v>
      </c>
      <c r="AZ61" s="53">
        <f t="shared" si="136"/>
        <v>7.5</v>
      </c>
      <c r="BA61" s="53">
        <f t="shared" si="136"/>
        <v>7.5</v>
      </c>
      <c r="BB61" s="53">
        <f t="shared" si="136"/>
        <v>7.5</v>
      </c>
      <c r="BC61" s="53">
        <f t="shared" si="136"/>
        <v>7.5</v>
      </c>
      <c r="BD61" s="53">
        <f t="shared" si="136"/>
        <v>7.5</v>
      </c>
      <c r="BE61" s="53">
        <f t="shared" si="136"/>
        <v>7.5</v>
      </c>
      <c r="BF61" s="53">
        <f t="shared" si="136"/>
        <v>7.5</v>
      </c>
      <c r="BG61" s="53">
        <f t="shared" si="136"/>
        <v>7.5</v>
      </c>
      <c r="BH61" s="53">
        <f t="shared" si="136"/>
        <v>7.5</v>
      </c>
      <c r="BI61" s="53">
        <f t="shared" si="136"/>
        <v>7.5</v>
      </c>
      <c r="BJ61" s="53">
        <f t="shared" si="136"/>
        <v>7.5</v>
      </c>
      <c r="BK61" s="53">
        <f t="shared" si="136"/>
        <v>7.5</v>
      </c>
      <c r="BL61" s="54">
        <f t="shared" si="136"/>
        <v>7.5</v>
      </c>
      <c r="BM61" s="52">
        <f t="shared" si="136"/>
        <v>7.5</v>
      </c>
      <c r="BN61" s="53">
        <f t="shared" si="136"/>
        <v>7.5</v>
      </c>
      <c r="BO61" s="53">
        <f t="shared" si="136"/>
        <v>7.5</v>
      </c>
      <c r="BP61" s="53">
        <f t="shared" si="136"/>
        <v>7.5</v>
      </c>
      <c r="BQ61" s="53">
        <f t="shared" si="136"/>
        <v>7.5</v>
      </c>
      <c r="BR61" s="53">
        <f t="shared" si="136"/>
        <v>7.5</v>
      </c>
      <c r="BS61" s="53">
        <f t="shared" si="136"/>
        <v>7.5</v>
      </c>
      <c r="BT61" s="53">
        <f t="shared" si="136"/>
        <v>7.5</v>
      </c>
      <c r="BU61" s="53">
        <f t="shared" si="136"/>
        <v>7.5</v>
      </c>
      <c r="BV61" s="53">
        <f t="shared" si="136"/>
        <v>7.5</v>
      </c>
      <c r="BW61" s="53">
        <f t="shared" si="136"/>
        <v>7.5</v>
      </c>
      <c r="BX61" s="53">
        <f t="shared" si="136"/>
        <v>7.5</v>
      </c>
      <c r="BY61" s="53">
        <f t="shared" si="136"/>
        <v>7.5</v>
      </c>
      <c r="BZ61" s="53">
        <f t="shared" si="136"/>
        <v>7.5</v>
      </c>
      <c r="CA61" s="53">
        <f t="shared" si="136"/>
        <v>7.5</v>
      </c>
      <c r="CB61" s="53">
        <f t="shared" si="136"/>
        <v>7.5</v>
      </c>
      <c r="CC61" s="53">
        <f t="shared" si="136"/>
        <v>7.5</v>
      </c>
      <c r="CD61" s="53">
        <f t="shared" si="136"/>
        <v>7.5</v>
      </c>
      <c r="CE61" s="53">
        <f t="shared" si="136"/>
        <v>7.5</v>
      </c>
      <c r="CF61" s="53">
        <f t="shared" si="136"/>
        <v>7.5</v>
      </c>
      <c r="CG61" s="53">
        <f t="shared" si="136"/>
        <v>7.5</v>
      </c>
      <c r="CH61" s="53">
        <f t="shared" si="136"/>
        <v>7.5</v>
      </c>
      <c r="CI61" s="53">
        <f t="shared" ref="CI61:CQ61" si="137">7.5+CI62</f>
        <v>7.5</v>
      </c>
      <c r="CJ61" s="53">
        <f t="shared" si="137"/>
        <v>7.5</v>
      </c>
      <c r="CK61" s="53">
        <f t="shared" si="137"/>
        <v>7.5</v>
      </c>
      <c r="CL61" s="53">
        <f t="shared" si="137"/>
        <v>7.5</v>
      </c>
      <c r="CM61" s="53">
        <f t="shared" si="137"/>
        <v>7.5</v>
      </c>
      <c r="CN61" s="53">
        <f t="shared" si="137"/>
        <v>7.5</v>
      </c>
      <c r="CO61" s="53">
        <f t="shared" si="137"/>
        <v>7.5</v>
      </c>
      <c r="CP61" s="53">
        <f t="shared" si="137"/>
        <v>7.5</v>
      </c>
      <c r="CQ61" s="54">
        <f t="shared" si="137"/>
        <v>7.5</v>
      </c>
    </row>
    <row r="62" spans="1:95" x14ac:dyDescent="0.35">
      <c r="A62" s="214"/>
      <c r="B62" s="22" t="s">
        <v>17</v>
      </c>
      <c r="C62" s="223"/>
      <c r="D62" s="117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63"/>
      <c r="AI62" s="61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62"/>
      <c r="BM62" s="61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62"/>
    </row>
    <row r="63" spans="1:95" x14ac:dyDescent="0.35">
      <c r="A63" s="205" t="s">
        <v>42</v>
      </c>
      <c r="B63" s="22" t="s">
        <v>16</v>
      </c>
      <c r="C63" s="223"/>
      <c r="D63" s="108">
        <f t="shared" ref="D63:J63" si="138">18.5+2+D64</f>
        <v>20.5</v>
      </c>
      <c r="E63" s="53">
        <f t="shared" si="138"/>
        <v>20.5</v>
      </c>
      <c r="F63" s="53">
        <f t="shared" si="138"/>
        <v>20.5</v>
      </c>
      <c r="G63" s="53">
        <f t="shared" si="138"/>
        <v>20.5</v>
      </c>
      <c r="H63" s="53">
        <f t="shared" si="138"/>
        <v>20.5</v>
      </c>
      <c r="I63" s="53">
        <f t="shared" si="138"/>
        <v>20.5</v>
      </c>
      <c r="J63" s="53">
        <f t="shared" si="138"/>
        <v>20.5</v>
      </c>
      <c r="K63" s="53">
        <f t="shared" ref="K63:BV63" si="139">18.5+2+K64</f>
        <v>20.5</v>
      </c>
      <c r="L63" s="53">
        <f t="shared" si="139"/>
        <v>20.5</v>
      </c>
      <c r="M63" s="53">
        <f t="shared" si="139"/>
        <v>20.5</v>
      </c>
      <c r="N63" s="53">
        <f t="shared" si="139"/>
        <v>20.5</v>
      </c>
      <c r="O63" s="53">
        <f t="shared" si="139"/>
        <v>20.5</v>
      </c>
      <c r="P63" s="53">
        <f t="shared" si="139"/>
        <v>20.5</v>
      </c>
      <c r="Q63" s="53">
        <f t="shared" si="139"/>
        <v>20.5</v>
      </c>
      <c r="R63" s="53">
        <f t="shared" si="139"/>
        <v>20.5</v>
      </c>
      <c r="S63" s="53">
        <f t="shared" si="139"/>
        <v>20.5</v>
      </c>
      <c r="T63" s="53">
        <f t="shared" si="139"/>
        <v>20.5</v>
      </c>
      <c r="U63" s="53">
        <f t="shared" si="139"/>
        <v>20.5</v>
      </c>
      <c r="V63" s="53">
        <f t="shared" si="139"/>
        <v>20.5</v>
      </c>
      <c r="W63" s="53">
        <f t="shared" si="139"/>
        <v>20.5</v>
      </c>
      <c r="X63" s="53">
        <f t="shared" si="139"/>
        <v>20.5</v>
      </c>
      <c r="Y63" s="53">
        <f t="shared" si="139"/>
        <v>20.5</v>
      </c>
      <c r="Z63" s="53">
        <f t="shared" si="139"/>
        <v>20.5</v>
      </c>
      <c r="AA63" s="53">
        <f t="shared" si="139"/>
        <v>20.5</v>
      </c>
      <c r="AB63" s="53">
        <f t="shared" si="139"/>
        <v>20.5</v>
      </c>
      <c r="AC63" s="53">
        <f t="shared" si="139"/>
        <v>20.5</v>
      </c>
      <c r="AD63" s="53">
        <f t="shared" si="139"/>
        <v>20.5</v>
      </c>
      <c r="AE63" s="53">
        <f t="shared" si="139"/>
        <v>20.5</v>
      </c>
      <c r="AF63" s="53">
        <f t="shared" si="139"/>
        <v>20.5</v>
      </c>
      <c r="AG63" s="53">
        <f t="shared" si="139"/>
        <v>20.5</v>
      </c>
      <c r="AH63" s="55">
        <f t="shared" si="139"/>
        <v>20.5</v>
      </c>
      <c r="AI63" s="52">
        <f t="shared" si="139"/>
        <v>20.5</v>
      </c>
      <c r="AJ63" s="53">
        <f t="shared" si="139"/>
        <v>20.5</v>
      </c>
      <c r="AK63" s="53">
        <f t="shared" si="139"/>
        <v>20.5</v>
      </c>
      <c r="AL63" s="53">
        <f t="shared" si="139"/>
        <v>20.5</v>
      </c>
      <c r="AM63" s="53">
        <f t="shared" si="139"/>
        <v>20.5</v>
      </c>
      <c r="AN63" s="53">
        <f t="shared" si="139"/>
        <v>20.5</v>
      </c>
      <c r="AO63" s="53">
        <f t="shared" si="139"/>
        <v>20.5</v>
      </c>
      <c r="AP63" s="53">
        <f t="shared" si="139"/>
        <v>20.5</v>
      </c>
      <c r="AQ63" s="53">
        <f t="shared" si="139"/>
        <v>20.5</v>
      </c>
      <c r="AR63" s="53">
        <f t="shared" si="139"/>
        <v>20.5</v>
      </c>
      <c r="AS63" s="53">
        <f t="shared" si="139"/>
        <v>20.5</v>
      </c>
      <c r="AT63" s="53">
        <f t="shared" si="139"/>
        <v>20.5</v>
      </c>
      <c r="AU63" s="53">
        <f t="shared" si="139"/>
        <v>20.5</v>
      </c>
      <c r="AV63" s="53">
        <f t="shared" si="139"/>
        <v>20.5</v>
      </c>
      <c r="AW63" s="53">
        <f t="shared" si="139"/>
        <v>20.5</v>
      </c>
      <c r="AX63" s="53">
        <f t="shared" si="139"/>
        <v>20.5</v>
      </c>
      <c r="AY63" s="53">
        <f t="shared" si="139"/>
        <v>20.5</v>
      </c>
      <c r="AZ63" s="53">
        <f t="shared" si="139"/>
        <v>20.5</v>
      </c>
      <c r="BA63" s="53">
        <f t="shared" si="139"/>
        <v>20.5</v>
      </c>
      <c r="BB63" s="53">
        <f t="shared" si="139"/>
        <v>20.5</v>
      </c>
      <c r="BC63" s="53">
        <f t="shared" si="139"/>
        <v>20.5</v>
      </c>
      <c r="BD63" s="53">
        <f t="shared" si="139"/>
        <v>20.5</v>
      </c>
      <c r="BE63" s="53">
        <f t="shared" si="139"/>
        <v>20.5</v>
      </c>
      <c r="BF63" s="53">
        <f t="shared" si="139"/>
        <v>20.5</v>
      </c>
      <c r="BG63" s="53">
        <f t="shared" si="139"/>
        <v>20.5</v>
      </c>
      <c r="BH63" s="53">
        <f t="shared" si="139"/>
        <v>20.5</v>
      </c>
      <c r="BI63" s="53">
        <f t="shared" si="139"/>
        <v>20.5</v>
      </c>
      <c r="BJ63" s="53">
        <f t="shared" si="139"/>
        <v>20.5</v>
      </c>
      <c r="BK63" s="53">
        <f t="shared" si="139"/>
        <v>20.5</v>
      </c>
      <c r="BL63" s="54">
        <f t="shared" si="139"/>
        <v>20.5</v>
      </c>
      <c r="BM63" s="52">
        <f t="shared" si="139"/>
        <v>20.5</v>
      </c>
      <c r="BN63" s="53">
        <f t="shared" si="139"/>
        <v>20.5</v>
      </c>
      <c r="BO63" s="53">
        <f t="shared" si="139"/>
        <v>20.5</v>
      </c>
      <c r="BP63" s="53">
        <f t="shared" si="139"/>
        <v>20.5</v>
      </c>
      <c r="BQ63" s="53">
        <f t="shared" si="139"/>
        <v>20.5</v>
      </c>
      <c r="BR63" s="53">
        <f t="shared" si="139"/>
        <v>20.5</v>
      </c>
      <c r="BS63" s="53">
        <f t="shared" si="139"/>
        <v>20.5</v>
      </c>
      <c r="BT63" s="53">
        <f t="shared" si="139"/>
        <v>20.5</v>
      </c>
      <c r="BU63" s="53">
        <f t="shared" si="139"/>
        <v>20.5</v>
      </c>
      <c r="BV63" s="53">
        <f t="shared" si="139"/>
        <v>20.5</v>
      </c>
      <c r="BW63" s="53">
        <f t="shared" ref="BW63:CQ63" si="140">18.5+2+BW64</f>
        <v>20.5</v>
      </c>
      <c r="BX63" s="53">
        <f t="shared" si="140"/>
        <v>20.5</v>
      </c>
      <c r="BY63" s="53">
        <f t="shared" si="140"/>
        <v>20.5</v>
      </c>
      <c r="BZ63" s="53">
        <f t="shared" si="140"/>
        <v>20.5</v>
      </c>
      <c r="CA63" s="53">
        <f t="shared" si="140"/>
        <v>20.5</v>
      </c>
      <c r="CB63" s="53">
        <f t="shared" si="140"/>
        <v>20.5</v>
      </c>
      <c r="CC63" s="53">
        <f t="shared" si="140"/>
        <v>20.5</v>
      </c>
      <c r="CD63" s="53">
        <f t="shared" si="140"/>
        <v>20.5</v>
      </c>
      <c r="CE63" s="53">
        <f t="shared" si="140"/>
        <v>20.5</v>
      </c>
      <c r="CF63" s="53">
        <f t="shared" si="140"/>
        <v>20.5</v>
      </c>
      <c r="CG63" s="53">
        <f t="shared" si="140"/>
        <v>20.5</v>
      </c>
      <c r="CH63" s="53">
        <f t="shared" si="140"/>
        <v>20.5</v>
      </c>
      <c r="CI63" s="53">
        <f t="shared" si="140"/>
        <v>20.5</v>
      </c>
      <c r="CJ63" s="53">
        <f t="shared" si="140"/>
        <v>20.5</v>
      </c>
      <c r="CK63" s="53">
        <f t="shared" si="140"/>
        <v>20.5</v>
      </c>
      <c r="CL63" s="53">
        <f t="shared" si="140"/>
        <v>20.5</v>
      </c>
      <c r="CM63" s="53">
        <f t="shared" si="140"/>
        <v>20.5</v>
      </c>
      <c r="CN63" s="53">
        <f t="shared" si="140"/>
        <v>20.5</v>
      </c>
      <c r="CO63" s="53">
        <f t="shared" si="140"/>
        <v>20.5</v>
      </c>
      <c r="CP63" s="53">
        <f t="shared" si="140"/>
        <v>20.5</v>
      </c>
      <c r="CQ63" s="54">
        <f t="shared" si="140"/>
        <v>20.5</v>
      </c>
    </row>
    <row r="64" spans="1:95" x14ac:dyDescent="0.35">
      <c r="A64" s="206"/>
      <c r="B64" s="22" t="s">
        <v>17</v>
      </c>
      <c r="C64" s="223"/>
      <c r="D64" s="117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63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62"/>
      <c r="BM64" s="61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62"/>
    </row>
    <row r="65" spans="1:95" x14ac:dyDescent="0.35">
      <c r="A65" s="205" t="s">
        <v>43</v>
      </c>
      <c r="B65" s="22" t="s">
        <v>16</v>
      </c>
      <c r="C65" s="223"/>
      <c r="D65" s="108">
        <f t="shared" ref="D65:V65" si="141">18.5+D69</f>
        <v>18.899999999999999</v>
      </c>
      <c r="E65" s="53">
        <f t="shared" si="141"/>
        <v>18.899999999999999</v>
      </c>
      <c r="F65" s="53">
        <f t="shared" si="141"/>
        <v>18.899999999999999</v>
      </c>
      <c r="G65" s="53">
        <f t="shared" si="141"/>
        <v>18.899999999999999</v>
      </c>
      <c r="H65" s="53">
        <f t="shared" si="141"/>
        <v>18.899999999999999</v>
      </c>
      <c r="I65" s="53">
        <f t="shared" si="141"/>
        <v>18.899999999999999</v>
      </c>
      <c r="J65" s="53">
        <f t="shared" si="141"/>
        <v>18.899999999999999</v>
      </c>
      <c r="K65" s="53">
        <f t="shared" si="141"/>
        <v>18.899999999999999</v>
      </c>
      <c r="L65" s="53">
        <f t="shared" si="141"/>
        <v>18.899999999999999</v>
      </c>
      <c r="M65" s="53">
        <f t="shared" si="141"/>
        <v>18.899999999999999</v>
      </c>
      <c r="N65" s="53">
        <f t="shared" si="141"/>
        <v>18.899999999999999</v>
      </c>
      <c r="O65" s="53">
        <f t="shared" si="141"/>
        <v>18.899999999999999</v>
      </c>
      <c r="P65" s="53">
        <f t="shared" si="141"/>
        <v>18.899999999999999</v>
      </c>
      <c r="Q65" s="53">
        <f t="shared" si="141"/>
        <v>18.899999999999999</v>
      </c>
      <c r="R65" s="53">
        <f t="shared" si="141"/>
        <v>18.899999999999999</v>
      </c>
      <c r="S65" s="53">
        <f t="shared" si="141"/>
        <v>18.899999999999999</v>
      </c>
      <c r="T65" s="53">
        <f t="shared" si="141"/>
        <v>18.899999999999999</v>
      </c>
      <c r="U65" s="53">
        <f t="shared" si="141"/>
        <v>18.899999999999999</v>
      </c>
      <c r="V65" s="53">
        <f t="shared" si="141"/>
        <v>18.899999999999999</v>
      </c>
      <c r="W65" s="53">
        <f t="shared" ref="W65:CH65" si="142">18.5+W69</f>
        <v>18.899999999999999</v>
      </c>
      <c r="X65" s="53">
        <f t="shared" si="142"/>
        <v>18.899999999999999</v>
      </c>
      <c r="Y65" s="53">
        <f t="shared" si="142"/>
        <v>18.899999999999999</v>
      </c>
      <c r="Z65" s="53">
        <f t="shared" si="142"/>
        <v>18.899999999999999</v>
      </c>
      <c r="AA65" s="53">
        <f t="shared" si="142"/>
        <v>18.899999999999999</v>
      </c>
      <c r="AB65" s="53">
        <f t="shared" si="142"/>
        <v>18.899999999999999</v>
      </c>
      <c r="AC65" s="53">
        <f t="shared" si="142"/>
        <v>18.899999999999999</v>
      </c>
      <c r="AD65" s="53">
        <f t="shared" si="142"/>
        <v>18.899999999999999</v>
      </c>
      <c r="AE65" s="53">
        <f t="shared" si="142"/>
        <v>18.899999999999999</v>
      </c>
      <c r="AF65" s="53">
        <f t="shared" si="142"/>
        <v>18.899999999999999</v>
      </c>
      <c r="AG65" s="53">
        <f t="shared" si="142"/>
        <v>18.899999999999999</v>
      </c>
      <c r="AH65" s="55">
        <f t="shared" si="142"/>
        <v>18.899999999999999</v>
      </c>
      <c r="AI65" s="53">
        <f t="shared" si="142"/>
        <v>18.899999999999999</v>
      </c>
      <c r="AJ65" s="53">
        <f t="shared" si="142"/>
        <v>18.899999999999999</v>
      </c>
      <c r="AK65" s="53">
        <f t="shared" si="142"/>
        <v>18.899999999999999</v>
      </c>
      <c r="AL65" s="53">
        <f t="shared" si="142"/>
        <v>18.899999999999999</v>
      </c>
      <c r="AM65" s="53">
        <f t="shared" si="142"/>
        <v>18.899999999999999</v>
      </c>
      <c r="AN65" s="53">
        <f t="shared" si="142"/>
        <v>18.899999999999999</v>
      </c>
      <c r="AO65" s="53">
        <f t="shared" si="142"/>
        <v>18.899999999999999</v>
      </c>
      <c r="AP65" s="53">
        <f t="shared" si="142"/>
        <v>18.899999999999999</v>
      </c>
      <c r="AQ65" s="53">
        <f t="shared" si="142"/>
        <v>18.899999999999999</v>
      </c>
      <c r="AR65" s="53">
        <f t="shared" si="142"/>
        <v>18.899999999999999</v>
      </c>
      <c r="AS65" s="53">
        <f t="shared" si="142"/>
        <v>18.899999999999999</v>
      </c>
      <c r="AT65" s="53">
        <f t="shared" si="142"/>
        <v>18.899999999999999</v>
      </c>
      <c r="AU65" s="53">
        <f t="shared" si="142"/>
        <v>18.899999999999999</v>
      </c>
      <c r="AV65" s="53">
        <f t="shared" si="142"/>
        <v>18.899999999999999</v>
      </c>
      <c r="AW65" s="53">
        <f t="shared" si="142"/>
        <v>18.899999999999999</v>
      </c>
      <c r="AX65" s="53">
        <f t="shared" si="142"/>
        <v>18.899999999999999</v>
      </c>
      <c r="AY65" s="53">
        <f t="shared" si="142"/>
        <v>18.899999999999999</v>
      </c>
      <c r="AZ65" s="53">
        <f t="shared" si="142"/>
        <v>18.899999999999999</v>
      </c>
      <c r="BA65" s="53">
        <f t="shared" si="142"/>
        <v>18.899999999999999</v>
      </c>
      <c r="BB65" s="53">
        <f t="shared" si="142"/>
        <v>18.899999999999999</v>
      </c>
      <c r="BC65" s="53">
        <f t="shared" si="142"/>
        <v>18.899999999999999</v>
      </c>
      <c r="BD65" s="53">
        <f t="shared" si="142"/>
        <v>18.899999999999999</v>
      </c>
      <c r="BE65" s="53">
        <f t="shared" si="142"/>
        <v>18.899999999999999</v>
      </c>
      <c r="BF65" s="53">
        <f t="shared" si="142"/>
        <v>18.899999999999999</v>
      </c>
      <c r="BG65" s="53">
        <f t="shared" si="142"/>
        <v>18.899999999999999</v>
      </c>
      <c r="BH65" s="53">
        <f t="shared" si="142"/>
        <v>18.899999999999999</v>
      </c>
      <c r="BI65" s="53">
        <f t="shared" si="142"/>
        <v>18.899999999999999</v>
      </c>
      <c r="BJ65" s="53">
        <f t="shared" si="142"/>
        <v>18.899999999999999</v>
      </c>
      <c r="BK65" s="53">
        <f t="shared" si="142"/>
        <v>18.899999999999999</v>
      </c>
      <c r="BL65" s="54">
        <f t="shared" si="142"/>
        <v>18.899999999999999</v>
      </c>
      <c r="BM65" s="52">
        <f t="shared" si="142"/>
        <v>18.899999999999999</v>
      </c>
      <c r="BN65" s="53">
        <f t="shared" si="142"/>
        <v>18.899999999999999</v>
      </c>
      <c r="BO65" s="53">
        <f t="shared" si="142"/>
        <v>18.899999999999999</v>
      </c>
      <c r="BP65" s="53">
        <f t="shared" si="142"/>
        <v>18.899999999999999</v>
      </c>
      <c r="BQ65" s="53">
        <f t="shared" si="142"/>
        <v>18.899999999999999</v>
      </c>
      <c r="BR65" s="53">
        <f t="shared" si="142"/>
        <v>18.899999999999999</v>
      </c>
      <c r="BS65" s="53">
        <f t="shared" si="142"/>
        <v>18.899999999999999</v>
      </c>
      <c r="BT65" s="53">
        <f t="shared" si="142"/>
        <v>18.899999999999999</v>
      </c>
      <c r="BU65" s="53">
        <f t="shared" si="142"/>
        <v>18.899999999999999</v>
      </c>
      <c r="BV65" s="53">
        <f t="shared" si="142"/>
        <v>18.899999999999999</v>
      </c>
      <c r="BW65" s="53">
        <f t="shared" si="142"/>
        <v>18.899999999999999</v>
      </c>
      <c r="BX65" s="53">
        <f t="shared" si="142"/>
        <v>18.899999999999999</v>
      </c>
      <c r="BY65" s="53">
        <f t="shared" si="142"/>
        <v>18.899999999999999</v>
      </c>
      <c r="BZ65" s="53">
        <f t="shared" si="142"/>
        <v>18.899999999999999</v>
      </c>
      <c r="CA65" s="53">
        <f t="shared" si="142"/>
        <v>18.899999999999999</v>
      </c>
      <c r="CB65" s="53">
        <f t="shared" si="142"/>
        <v>18.899999999999999</v>
      </c>
      <c r="CC65" s="53">
        <f t="shared" si="142"/>
        <v>18.899999999999999</v>
      </c>
      <c r="CD65" s="53">
        <f t="shared" si="142"/>
        <v>18.899999999999999</v>
      </c>
      <c r="CE65" s="53">
        <f t="shared" si="142"/>
        <v>18.899999999999999</v>
      </c>
      <c r="CF65" s="53">
        <f t="shared" si="142"/>
        <v>18.899999999999999</v>
      </c>
      <c r="CG65" s="53">
        <f t="shared" si="142"/>
        <v>18.899999999999999</v>
      </c>
      <c r="CH65" s="53">
        <f t="shared" si="142"/>
        <v>18.899999999999999</v>
      </c>
      <c r="CI65" s="53">
        <f t="shared" ref="CI65:CQ65" si="143">18.5+CI69</f>
        <v>18.899999999999999</v>
      </c>
      <c r="CJ65" s="53">
        <f t="shared" si="143"/>
        <v>18.899999999999999</v>
      </c>
      <c r="CK65" s="53">
        <f t="shared" si="143"/>
        <v>18.899999999999999</v>
      </c>
      <c r="CL65" s="53">
        <f t="shared" si="143"/>
        <v>18.899999999999999</v>
      </c>
      <c r="CM65" s="53">
        <f t="shared" si="143"/>
        <v>18.899999999999999</v>
      </c>
      <c r="CN65" s="53">
        <f t="shared" si="143"/>
        <v>18.899999999999999</v>
      </c>
      <c r="CO65" s="53">
        <f t="shared" si="143"/>
        <v>18.899999999999999</v>
      </c>
      <c r="CP65" s="53">
        <f t="shared" si="143"/>
        <v>18.899999999999999</v>
      </c>
      <c r="CQ65" s="54">
        <f t="shared" si="143"/>
        <v>18.899999999999999</v>
      </c>
    </row>
    <row r="66" spans="1:95" x14ac:dyDescent="0.35">
      <c r="A66" s="206"/>
      <c r="B66" s="22" t="s">
        <v>17</v>
      </c>
      <c r="C66" s="223"/>
      <c r="D66" s="106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103">
        <v>-0.3</v>
      </c>
      <c r="X66" s="103">
        <v>-0.3</v>
      </c>
      <c r="Y66" s="103">
        <v>-0.3</v>
      </c>
      <c r="Z66" s="49"/>
      <c r="AA66" s="49"/>
      <c r="AB66" s="49"/>
      <c r="AC66" s="49"/>
      <c r="AD66" s="49"/>
      <c r="AE66" s="49"/>
      <c r="AF66" s="49"/>
      <c r="AG66" s="49"/>
      <c r="AH66" s="51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103">
        <v>-10</v>
      </c>
      <c r="AY66" s="103">
        <v>-10</v>
      </c>
      <c r="AZ66" s="103">
        <v>-10</v>
      </c>
      <c r="BA66" s="103">
        <v>-10</v>
      </c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50"/>
      <c r="BM66" s="48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50"/>
    </row>
    <row r="67" spans="1:95" x14ac:dyDescent="0.35">
      <c r="A67" s="205" t="s">
        <v>44</v>
      </c>
      <c r="B67" s="22" t="s">
        <v>16</v>
      </c>
      <c r="C67" s="223"/>
      <c r="D67" s="108">
        <f>9.5+D68</f>
        <v>9.5</v>
      </c>
      <c r="E67" s="108">
        <f t="shared" ref="E67:BP67" si="144">9.5+E68</f>
        <v>9.5</v>
      </c>
      <c r="F67" s="108">
        <f t="shared" si="144"/>
        <v>9.5</v>
      </c>
      <c r="G67" s="108">
        <f t="shared" si="144"/>
        <v>9.5</v>
      </c>
      <c r="H67" s="108">
        <f t="shared" si="144"/>
        <v>7.7</v>
      </c>
      <c r="I67" s="108">
        <f t="shared" si="144"/>
        <v>7.7</v>
      </c>
      <c r="J67" s="108">
        <f t="shared" si="144"/>
        <v>7.7</v>
      </c>
      <c r="K67" s="108">
        <f t="shared" si="144"/>
        <v>7.7</v>
      </c>
      <c r="L67" s="108">
        <f t="shared" si="144"/>
        <v>7.7</v>
      </c>
      <c r="M67" s="108">
        <f t="shared" si="144"/>
        <v>7.7</v>
      </c>
      <c r="N67" s="108">
        <f t="shared" si="144"/>
        <v>7.7</v>
      </c>
      <c r="O67" s="108">
        <f t="shared" si="144"/>
        <v>7.7</v>
      </c>
      <c r="P67" s="108">
        <f t="shared" si="144"/>
        <v>7.7</v>
      </c>
      <c r="Q67" s="108">
        <f t="shared" si="144"/>
        <v>7.7</v>
      </c>
      <c r="R67" s="108">
        <f t="shared" si="144"/>
        <v>7.7</v>
      </c>
      <c r="S67" s="108">
        <f t="shared" si="144"/>
        <v>7.7</v>
      </c>
      <c r="T67" s="108">
        <f t="shared" si="144"/>
        <v>7.7</v>
      </c>
      <c r="U67" s="108">
        <f t="shared" si="144"/>
        <v>7.7</v>
      </c>
      <c r="V67" s="108">
        <f t="shared" si="144"/>
        <v>7.7</v>
      </c>
      <c r="W67" s="108">
        <f t="shared" si="144"/>
        <v>7.7</v>
      </c>
      <c r="X67" s="108">
        <f t="shared" si="144"/>
        <v>7.7</v>
      </c>
      <c r="Y67" s="108">
        <f t="shared" si="144"/>
        <v>7.7</v>
      </c>
      <c r="Z67" s="108">
        <f t="shared" si="144"/>
        <v>7.7</v>
      </c>
      <c r="AA67" s="108">
        <f t="shared" si="144"/>
        <v>7.7</v>
      </c>
      <c r="AB67" s="108">
        <f t="shared" si="144"/>
        <v>7.7</v>
      </c>
      <c r="AC67" s="108">
        <f t="shared" si="144"/>
        <v>7.7</v>
      </c>
      <c r="AD67" s="108">
        <f t="shared" si="144"/>
        <v>7.7</v>
      </c>
      <c r="AE67" s="108">
        <f t="shared" si="144"/>
        <v>7.7</v>
      </c>
      <c r="AF67" s="108">
        <f t="shared" si="144"/>
        <v>7.7</v>
      </c>
      <c r="AG67" s="108">
        <f t="shared" si="144"/>
        <v>7.7</v>
      </c>
      <c r="AH67" s="108">
        <f t="shared" si="144"/>
        <v>7.7</v>
      </c>
      <c r="AI67" s="108">
        <f t="shared" si="144"/>
        <v>7.7</v>
      </c>
      <c r="AJ67" s="108">
        <f t="shared" si="144"/>
        <v>7.7</v>
      </c>
      <c r="AK67" s="108">
        <f t="shared" si="144"/>
        <v>7.7</v>
      </c>
      <c r="AL67" s="108">
        <f t="shared" si="144"/>
        <v>7.7</v>
      </c>
      <c r="AM67" s="108">
        <f t="shared" si="144"/>
        <v>7.7</v>
      </c>
      <c r="AN67" s="108">
        <f t="shared" si="144"/>
        <v>7.7</v>
      </c>
      <c r="AO67" s="108">
        <f t="shared" si="144"/>
        <v>7.7</v>
      </c>
      <c r="AP67" s="108">
        <f t="shared" si="144"/>
        <v>7.7</v>
      </c>
      <c r="AQ67" s="108">
        <f t="shared" si="144"/>
        <v>7.7</v>
      </c>
      <c r="AR67" s="108">
        <f t="shared" si="144"/>
        <v>7.7</v>
      </c>
      <c r="AS67" s="108">
        <f t="shared" si="144"/>
        <v>7.7</v>
      </c>
      <c r="AT67" s="108">
        <f t="shared" si="144"/>
        <v>7.7</v>
      </c>
      <c r="AU67" s="108">
        <f t="shared" si="144"/>
        <v>7.7</v>
      </c>
      <c r="AV67" s="108">
        <f t="shared" si="144"/>
        <v>7.7</v>
      </c>
      <c r="AW67" s="108">
        <f t="shared" si="144"/>
        <v>7.7</v>
      </c>
      <c r="AX67" s="108">
        <f t="shared" si="144"/>
        <v>7.7</v>
      </c>
      <c r="AY67" s="108">
        <f t="shared" si="144"/>
        <v>7.7</v>
      </c>
      <c r="AZ67" s="108">
        <f t="shared" si="144"/>
        <v>7.7</v>
      </c>
      <c r="BA67" s="108">
        <f t="shared" si="144"/>
        <v>7.7</v>
      </c>
      <c r="BB67" s="108">
        <f t="shared" si="144"/>
        <v>7.7</v>
      </c>
      <c r="BC67" s="108">
        <f t="shared" si="144"/>
        <v>7.7</v>
      </c>
      <c r="BD67" s="108">
        <f t="shared" si="144"/>
        <v>7.7</v>
      </c>
      <c r="BE67" s="108">
        <f t="shared" si="144"/>
        <v>7.7</v>
      </c>
      <c r="BF67" s="108">
        <f t="shared" si="144"/>
        <v>7.7</v>
      </c>
      <c r="BG67" s="108">
        <f t="shared" si="144"/>
        <v>7.7</v>
      </c>
      <c r="BH67" s="108">
        <f t="shared" si="144"/>
        <v>7.7</v>
      </c>
      <c r="BI67" s="108">
        <f t="shared" si="144"/>
        <v>7.7</v>
      </c>
      <c r="BJ67" s="108">
        <f t="shared" si="144"/>
        <v>7.7</v>
      </c>
      <c r="BK67" s="108">
        <f t="shared" si="144"/>
        <v>7.7</v>
      </c>
      <c r="BL67" s="108">
        <f t="shared" si="144"/>
        <v>7.7</v>
      </c>
      <c r="BM67" s="108">
        <f t="shared" si="144"/>
        <v>7.7</v>
      </c>
      <c r="BN67" s="108">
        <f t="shared" si="144"/>
        <v>7.7</v>
      </c>
      <c r="BO67" s="108">
        <f t="shared" si="144"/>
        <v>7.7</v>
      </c>
      <c r="BP67" s="108">
        <f t="shared" si="144"/>
        <v>7.7</v>
      </c>
      <c r="BQ67" s="108">
        <f t="shared" ref="BQ67:CQ67" si="145">9.5+BQ68</f>
        <v>9.5</v>
      </c>
      <c r="BR67" s="108">
        <f t="shared" si="145"/>
        <v>9.5</v>
      </c>
      <c r="BS67" s="108">
        <f t="shared" si="145"/>
        <v>9.5</v>
      </c>
      <c r="BT67" s="108">
        <f t="shared" si="145"/>
        <v>9.5</v>
      </c>
      <c r="BU67" s="108">
        <f t="shared" si="145"/>
        <v>9.5</v>
      </c>
      <c r="BV67" s="108">
        <f t="shared" si="145"/>
        <v>9.5</v>
      </c>
      <c r="BW67" s="108">
        <f t="shared" si="145"/>
        <v>9.5</v>
      </c>
      <c r="BX67" s="108">
        <f t="shared" si="145"/>
        <v>9.5</v>
      </c>
      <c r="BY67" s="108">
        <f t="shared" si="145"/>
        <v>9.5</v>
      </c>
      <c r="BZ67" s="108">
        <f t="shared" si="145"/>
        <v>9.5</v>
      </c>
      <c r="CA67" s="108">
        <f t="shared" si="145"/>
        <v>9.5</v>
      </c>
      <c r="CB67" s="108">
        <f t="shared" si="145"/>
        <v>9.5</v>
      </c>
      <c r="CC67" s="108">
        <f t="shared" si="145"/>
        <v>9.5</v>
      </c>
      <c r="CD67" s="108">
        <f t="shared" si="145"/>
        <v>9.5</v>
      </c>
      <c r="CE67" s="108">
        <f t="shared" si="145"/>
        <v>9.5</v>
      </c>
      <c r="CF67" s="108">
        <f t="shared" si="145"/>
        <v>9.5</v>
      </c>
      <c r="CG67" s="108">
        <f t="shared" si="145"/>
        <v>9.5</v>
      </c>
      <c r="CH67" s="108">
        <f t="shared" si="145"/>
        <v>9.5</v>
      </c>
      <c r="CI67" s="108">
        <f t="shared" si="145"/>
        <v>9.5</v>
      </c>
      <c r="CJ67" s="108">
        <f t="shared" si="145"/>
        <v>9.5</v>
      </c>
      <c r="CK67" s="108">
        <f t="shared" si="145"/>
        <v>9.5</v>
      </c>
      <c r="CL67" s="108">
        <f t="shared" si="145"/>
        <v>9.5</v>
      </c>
      <c r="CM67" s="108">
        <f t="shared" si="145"/>
        <v>9.5</v>
      </c>
      <c r="CN67" s="108">
        <f t="shared" si="145"/>
        <v>9.5</v>
      </c>
      <c r="CO67" s="108">
        <f t="shared" si="145"/>
        <v>9.5</v>
      </c>
      <c r="CP67" s="108">
        <f t="shared" si="145"/>
        <v>9.5</v>
      </c>
      <c r="CQ67" s="108">
        <f t="shared" si="145"/>
        <v>9.5</v>
      </c>
    </row>
    <row r="68" spans="1:95" x14ac:dyDescent="0.35">
      <c r="A68" s="206"/>
      <c r="B68" s="22" t="s">
        <v>17</v>
      </c>
      <c r="C68" s="223"/>
      <c r="D68" s="117"/>
      <c r="E68" s="59"/>
      <c r="F68" s="59"/>
      <c r="G68" s="59"/>
      <c r="H68" s="103">
        <v>-1.8</v>
      </c>
      <c r="I68" s="103">
        <v>-1.8</v>
      </c>
      <c r="J68" s="103">
        <v>-1.8</v>
      </c>
      <c r="K68" s="103">
        <v>-1.8</v>
      </c>
      <c r="L68" s="103">
        <v>-1.8</v>
      </c>
      <c r="M68" s="103">
        <v>-1.8</v>
      </c>
      <c r="N68" s="103">
        <v>-1.8</v>
      </c>
      <c r="O68" s="103">
        <v>-1.8</v>
      </c>
      <c r="P68" s="103">
        <v>-1.8</v>
      </c>
      <c r="Q68" s="103">
        <v>-1.8</v>
      </c>
      <c r="R68" s="103">
        <v>-1.8</v>
      </c>
      <c r="S68" s="103">
        <v>-1.8</v>
      </c>
      <c r="T68" s="103">
        <v>-1.8</v>
      </c>
      <c r="U68" s="103">
        <v>-1.8</v>
      </c>
      <c r="V68" s="103">
        <v>-1.8</v>
      </c>
      <c r="W68" s="103">
        <v>-1.8</v>
      </c>
      <c r="X68" s="103">
        <v>-1.8</v>
      </c>
      <c r="Y68" s="103">
        <v>-1.8</v>
      </c>
      <c r="Z68" s="103">
        <v>-1.8</v>
      </c>
      <c r="AA68" s="103">
        <v>-1.8</v>
      </c>
      <c r="AB68" s="103">
        <v>-1.8</v>
      </c>
      <c r="AC68" s="103">
        <v>-1.8</v>
      </c>
      <c r="AD68" s="103">
        <v>-1.8</v>
      </c>
      <c r="AE68" s="103">
        <v>-1.8</v>
      </c>
      <c r="AF68" s="103">
        <v>-1.8</v>
      </c>
      <c r="AG68" s="103">
        <v>-1.8</v>
      </c>
      <c r="AH68" s="103">
        <v>-1.8</v>
      </c>
      <c r="AI68" s="103">
        <v>-1.8</v>
      </c>
      <c r="AJ68" s="103">
        <v>-1.8</v>
      </c>
      <c r="AK68" s="103">
        <v>-1.8</v>
      </c>
      <c r="AL68" s="103">
        <v>-1.8</v>
      </c>
      <c r="AM68" s="103">
        <v>-1.8</v>
      </c>
      <c r="AN68" s="103">
        <v>-1.8</v>
      </c>
      <c r="AO68" s="103">
        <v>-1.8</v>
      </c>
      <c r="AP68" s="103">
        <v>-1.8</v>
      </c>
      <c r="AQ68" s="103">
        <v>-1.8</v>
      </c>
      <c r="AR68" s="103">
        <v>-1.8</v>
      </c>
      <c r="AS68" s="103">
        <v>-1.8</v>
      </c>
      <c r="AT68" s="103">
        <v>-1.8</v>
      </c>
      <c r="AU68" s="103">
        <v>-1.8</v>
      </c>
      <c r="AV68" s="103">
        <v>-1.8</v>
      </c>
      <c r="AW68" s="103">
        <v>-1.8</v>
      </c>
      <c r="AX68" s="103">
        <v>-1.8</v>
      </c>
      <c r="AY68" s="103">
        <v>-1.8</v>
      </c>
      <c r="AZ68" s="103">
        <v>-1.8</v>
      </c>
      <c r="BA68" s="103">
        <v>-1.8</v>
      </c>
      <c r="BB68" s="103">
        <v>-1.8</v>
      </c>
      <c r="BC68" s="103">
        <v>-1.8</v>
      </c>
      <c r="BD68" s="103">
        <v>-1.8</v>
      </c>
      <c r="BE68" s="103">
        <v>-1.8</v>
      </c>
      <c r="BF68" s="103">
        <v>-1.8</v>
      </c>
      <c r="BG68" s="103">
        <v>-1.8</v>
      </c>
      <c r="BH68" s="103">
        <v>-1.8</v>
      </c>
      <c r="BI68" s="103">
        <v>-1.8</v>
      </c>
      <c r="BJ68" s="103">
        <v>-1.8</v>
      </c>
      <c r="BK68" s="103">
        <v>-1.8</v>
      </c>
      <c r="BL68" s="103">
        <v>-1.8</v>
      </c>
      <c r="BM68" s="103">
        <v>-1.8</v>
      </c>
      <c r="BN68" s="103">
        <v>-1.8</v>
      </c>
      <c r="BO68" s="103">
        <v>-1.8</v>
      </c>
      <c r="BP68" s="103">
        <v>-1.8</v>
      </c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62"/>
    </row>
    <row r="69" spans="1:95" x14ac:dyDescent="0.35">
      <c r="A69" s="205" t="s">
        <v>45</v>
      </c>
      <c r="B69" s="22" t="s">
        <v>16</v>
      </c>
      <c r="C69" s="223"/>
      <c r="D69" s="108">
        <v>0.4</v>
      </c>
      <c r="E69" s="53">
        <v>0.4</v>
      </c>
      <c r="F69" s="53">
        <v>0.4</v>
      </c>
      <c r="G69" s="53">
        <v>0.4</v>
      </c>
      <c r="H69" s="53">
        <v>0.4</v>
      </c>
      <c r="I69" s="53">
        <v>0.4</v>
      </c>
      <c r="J69" s="53">
        <v>0.4</v>
      </c>
      <c r="K69" s="53">
        <v>0.4</v>
      </c>
      <c r="L69" s="53">
        <v>0.4</v>
      </c>
      <c r="M69" s="53">
        <v>0.4</v>
      </c>
      <c r="N69" s="53">
        <v>0.4</v>
      </c>
      <c r="O69" s="53">
        <v>0.4</v>
      </c>
      <c r="P69" s="53">
        <v>0.4</v>
      </c>
      <c r="Q69" s="53">
        <v>0.4</v>
      </c>
      <c r="R69" s="53">
        <v>0.4</v>
      </c>
      <c r="S69" s="53">
        <v>0.4</v>
      </c>
      <c r="T69" s="53">
        <v>0.4</v>
      </c>
      <c r="U69" s="53">
        <v>0.4</v>
      </c>
      <c r="V69" s="53">
        <v>0.4</v>
      </c>
      <c r="W69" s="53">
        <v>0.4</v>
      </c>
      <c r="X69" s="53">
        <v>0.4</v>
      </c>
      <c r="Y69" s="53">
        <v>0.4</v>
      </c>
      <c r="Z69" s="53">
        <v>0.4</v>
      </c>
      <c r="AA69" s="53">
        <v>0.4</v>
      </c>
      <c r="AB69" s="53">
        <v>0.4</v>
      </c>
      <c r="AC69" s="53">
        <v>0.4</v>
      </c>
      <c r="AD69" s="53">
        <v>0.4</v>
      </c>
      <c r="AE69" s="53">
        <v>0.4</v>
      </c>
      <c r="AF69" s="53">
        <v>0.4</v>
      </c>
      <c r="AG69" s="53">
        <v>0.4</v>
      </c>
      <c r="AH69" s="55">
        <v>0.4</v>
      </c>
      <c r="AI69" s="52">
        <v>0.4</v>
      </c>
      <c r="AJ69" s="53">
        <v>0.4</v>
      </c>
      <c r="AK69" s="53">
        <v>0.4</v>
      </c>
      <c r="AL69" s="53">
        <v>0.4</v>
      </c>
      <c r="AM69" s="53">
        <v>0.4</v>
      </c>
      <c r="AN69" s="53">
        <v>0.4</v>
      </c>
      <c r="AO69" s="53">
        <v>0.4</v>
      </c>
      <c r="AP69" s="53">
        <v>0.4</v>
      </c>
      <c r="AQ69" s="53">
        <v>0.4</v>
      </c>
      <c r="AR69" s="53">
        <v>0.4</v>
      </c>
      <c r="AS69" s="53">
        <v>0.4</v>
      </c>
      <c r="AT69" s="53">
        <v>0.4</v>
      </c>
      <c r="AU69" s="53">
        <v>0.4</v>
      </c>
      <c r="AV69" s="53">
        <v>0.4</v>
      </c>
      <c r="AW69" s="53">
        <v>0.4</v>
      </c>
      <c r="AX69" s="53">
        <v>0.4</v>
      </c>
      <c r="AY69" s="53">
        <v>0.4</v>
      </c>
      <c r="AZ69" s="53">
        <v>0.4</v>
      </c>
      <c r="BA69" s="53">
        <v>0.4</v>
      </c>
      <c r="BB69" s="53">
        <v>0.4</v>
      </c>
      <c r="BC69" s="53">
        <v>0.4</v>
      </c>
      <c r="BD69" s="53">
        <v>0.4</v>
      </c>
      <c r="BE69" s="53">
        <v>0.4</v>
      </c>
      <c r="BF69" s="53">
        <v>0.4</v>
      </c>
      <c r="BG69" s="53">
        <v>0.4</v>
      </c>
      <c r="BH69" s="53">
        <v>0.4</v>
      </c>
      <c r="BI69" s="53">
        <v>0.4</v>
      </c>
      <c r="BJ69" s="53">
        <v>0.4</v>
      </c>
      <c r="BK69" s="53">
        <v>0.4</v>
      </c>
      <c r="BL69" s="54">
        <v>0.4</v>
      </c>
      <c r="BM69" s="52">
        <v>0.4</v>
      </c>
      <c r="BN69" s="53">
        <v>0.4</v>
      </c>
      <c r="BO69" s="53">
        <v>0.4</v>
      </c>
      <c r="BP69" s="53">
        <v>0.4</v>
      </c>
      <c r="BQ69" s="53">
        <v>0.4</v>
      </c>
      <c r="BR69" s="53">
        <v>0.4</v>
      </c>
      <c r="BS69" s="53">
        <v>0.4</v>
      </c>
      <c r="BT69" s="53">
        <v>0.4</v>
      </c>
      <c r="BU69" s="53">
        <v>0.4</v>
      </c>
      <c r="BV69" s="53">
        <v>0.4</v>
      </c>
      <c r="BW69" s="53">
        <v>0.4</v>
      </c>
      <c r="BX69" s="53">
        <v>0.4</v>
      </c>
      <c r="BY69" s="53">
        <v>0.4</v>
      </c>
      <c r="BZ69" s="53">
        <v>0.4</v>
      </c>
      <c r="CA69" s="53">
        <v>0.4</v>
      </c>
      <c r="CB69" s="53">
        <v>0.4</v>
      </c>
      <c r="CC69" s="53">
        <v>0.4</v>
      </c>
      <c r="CD69" s="53">
        <v>0.4</v>
      </c>
      <c r="CE69" s="53">
        <v>0.4</v>
      </c>
      <c r="CF69" s="53">
        <v>0.4</v>
      </c>
      <c r="CG69" s="53">
        <v>0.4</v>
      </c>
      <c r="CH69" s="53">
        <v>0.4</v>
      </c>
      <c r="CI69" s="53">
        <v>0.4</v>
      </c>
      <c r="CJ69" s="53">
        <v>0.4</v>
      </c>
      <c r="CK69" s="53">
        <v>0.4</v>
      </c>
      <c r="CL69" s="53">
        <v>0.4</v>
      </c>
      <c r="CM69" s="53">
        <v>0.4</v>
      </c>
      <c r="CN69" s="53">
        <v>0.4</v>
      </c>
      <c r="CO69" s="53">
        <v>0.4</v>
      </c>
      <c r="CP69" s="53">
        <v>0.4</v>
      </c>
      <c r="CQ69" s="54">
        <v>0.4</v>
      </c>
    </row>
    <row r="70" spans="1:95" x14ac:dyDescent="0.35">
      <c r="A70" s="206"/>
      <c r="B70" s="22" t="s">
        <v>17</v>
      </c>
      <c r="C70" s="223"/>
      <c r="D70" s="117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63"/>
      <c r="AI70" s="61"/>
      <c r="AJ70" s="59"/>
      <c r="AK70" s="59"/>
      <c r="AL70" s="59"/>
      <c r="AM70" s="59"/>
      <c r="AN70" s="59"/>
      <c r="AO70" s="59"/>
      <c r="AP70" s="59"/>
      <c r="AQ70" s="59"/>
      <c r="AR70" s="59"/>
      <c r="AS70" s="59">
        <v>-0.25</v>
      </c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62"/>
      <c r="BM70" s="61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62"/>
    </row>
    <row r="71" spans="1:95" x14ac:dyDescent="0.35">
      <c r="A71" s="205" t="s">
        <v>46</v>
      </c>
      <c r="B71" s="22" t="s">
        <v>16</v>
      </c>
      <c r="C71" s="223"/>
      <c r="D71" s="121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9"/>
      <c r="AI71" s="118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20"/>
      <c r="BM71" s="118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20"/>
    </row>
    <row r="72" spans="1:95" x14ac:dyDescent="0.35">
      <c r="A72" s="206"/>
      <c r="B72" s="22" t="s">
        <v>17</v>
      </c>
      <c r="C72" s="223"/>
      <c r="D72" s="117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63"/>
      <c r="AI72" s="61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62"/>
      <c r="BM72" s="61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62"/>
    </row>
    <row r="73" spans="1:95" x14ac:dyDescent="0.35">
      <c r="A73" s="205" t="s">
        <v>47</v>
      </c>
      <c r="B73" s="22" t="s">
        <v>16</v>
      </c>
      <c r="C73" s="223"/>
      <c r="D73" s="108">
        <f t="shared" ref="D73:V73" si="146">14+D74</f>
        <v>13.8</v>
      </c>
      <c r="E73" s="53">
        <f t="shared" si="146"/>
        <v>13.8</v>
      </c>
      <c r="F73" s="53">
        <f t="shared" si="146"/>
        <v>13.8</v>
      </c>
      <c r="G73" s="53">
        <f t="shared" si="146"/>
        <v>13.2</v>
      </c>
      <c r="H73" s="53">
        <f t="shared" si="146"/>
        <v>13.2</v>
      </c>
      <c r="I73" s="53">
        <f t="shared" si="146"/>
        <v>13.2</v>
      </c>
      <c r="J73" s="53">
        <f t="shared" si="146"/>
        <v>13.2</v>
      </c>
      <c r="K73" s="53">
        <f t="shared" si="146"/>
        <v>13.2</v>
      </c>
      <c r="L73" s="53">
        <f t="shared" si="146"/>
        <v>14</v>
      </c>
      <c r="M73" s="53">
        <f t="shared" si="146"/>
        <v>14</v>
      </c>
      <c r="N73" s="53">
        <f t="shared" si="146"/>
        <v>14</v>
      </c>
      <c r="O73" s="53">
        <f t="shared" si="146"/>
        <v>14</v>
      </c>
      <c r="P73" s="53">
        <f t="shared" si="146"/>
        <v>14</v>
      </c>
      <c r="Q73" s="53">
        <f t="shared" si="146"/>
        <v>14</v>
      </c>
      <c r="R73" s="53">
        <f t="shared" si="146"/>
        <v>14</v>
      </c>
      <c r="S73" s="53">
        <f t="shared" si="146"/>
        <v>14</v>
      </c>
      <c r="T73" s="53">
        <f t="shared" si="146"/>
        <v>14</v>
      </c>
      <c r="U73" s="53">
        <f t="shared" si="146"/>
        <v>14</v>
      </c>
      <c r="V73" s="53">
        <f t="shared" si="146"/>
        <v>14</v>
      </c>
      <c r="W73" s="53">
        <f t="shared" ref="W73:CH73" si="147">14+W74</f>
        <v>14</v>
      </c>
      <c r="X73" s="53">
        <f t="shared" si="147"/>
        <v>14</v>
      </c>
      <c r="Y73" s="53">
        <f t="shared" si="147"/>
        <v>14</v>
      </c>
      <c r="Z73" s="53">
        <f t="shared" si="147"/>
        <v>14</v>
      </c>
      <c r="AA73" s="53">
        <f t="shared" si="147"/>
        <v>14</v>
      </c>
      <c r="AB73" s="53">
        <f t="shared" si="147"/>
        <v>14</v>
      </c>
      <c r="AC73" s="53">
        <f t="shared" si="147"/>
        <v>14</v>
      </c>
      <c r="AD73" s="53">
        <f t="shared" si="147"/>
        <v>14</v>
      </c>
      <c r="AE73" s="53">
        <f t="shared" si="147"/>
        <v>14</v>
      </c>
      <c r="AF73" s="53">
        <f t="shared" si="147"/>
        <v>14</v>
      </c>
      <c r="AG73" s="53">
        <f t="shared" si="147"/>
        <v>14</v>
      </c>
      <c r="AH73" s="55">
        <f t="shared" si="147"/>
        <v>14</v>
      </c>
      <c r="AI73" s="52">
        <f t="shared" si="147"/>
        <v>14</v>
      </c>
      <c r="AJ73" s="53">
        <f t="shared" si="147"/>
        <v>14</v>
      </c>
      <c r="AK73" s="53">
        <f t="shared" si="147"/>
        <v>14</v>
      </c>
      <c r="AL73" s="53">
        <f t="shared" si="147"/>
        <v>14</v>
      </c>
      <c r="AM73" s="53">
        <f t="shared" si="147"/>
        <v>14</v>
      </c>
      <c r="AN73" s="53">
        <f t="shared" si="147"/>
        <v>14</v>
      </c>
      <c r="AO73" s="53">
        <f t="shared" si="147"/>
        <v>14</v>
      </c>
      <c r="AP73" s="53">
        <f t="shared" si="147"/>
        <v>14</v>
      </c>
      <c r="AQ73" s="53">
        <f t="shared" si="147"/>
        <v>14</v>
      </c>
      <c r="AR73" s="53">
        <f t="shared" si="147"/>
        <v>14</v>
      </c>
      <c r="AS73" s="53">
        <f t="shared" si="147"/>
        <v>14</v>
      </c>
      <c r="AT73" s="53">
        <f t="shared" si="147"/>
        <v>14</v>
      </c>
      <c r="AU73" s="53">
        <f t="shared" si="147"/>
        <v>14</v>
      </c>
      <c r="AV73" s="53">
        <f t="shared" si="147"/>
        <v>14</v>
      </c>
      <c r="AW73" s="53">
        <f t="shared" si="147"/>
        <v>14</v>
      </c>
      <c r="AX73" s="53">
        <f t="shared" si="147"/>
        <v>14</v>
      </c>
      <c r="AY73" s="53">
        <f t="shared" si="147"/>
        <v>14</v>
      </c>
      <c r="AZ73" s="53">
        <f t="shared" si="147"/>
        <v>14</v>
      </c>
      <c r="BA73" s="53">
        <f t="shared" si="147"/>
        <v>14</v>
      </c>
      <c r="BB73" s="53">
        <f t="shared" si="147"/>
        <v>14</v>
      </c>
      <c r="BC73" s="53">
        <f t="shared" si="147"/>
        <v>14</v>
      </c>
      <c r="BD73" s="53">
        <f t="shared" si="147"/>
        <v>14</v>
      </c>
      <c r="BE73" s="53">
        <f t="shared" si="147"/>
        <v>14</v>
      </c>
      <c r="BF73" s="53">
        <f t="shared" si="147"/>
        <v>14</v>
      </c>
      <c r="BG73" s="53">
        <f t="shared" si="147"/>
        <v>14</v>
      </c>
      <c r="BH73" s="53">
        <f t="shared" si="147"/>
        <v>14</v>
      </c>
      <c r="BI73" s="53">
        <f t="shared" si="147"/>
        <v>14</v>
      </c>
      <c r="BJ73" s="53">
        <f t="shared" si="147"/>
        <v>14</v>
      </c>
      <c r="BK73" s="53">
        <f t="shared" si="147"/>
        <v>14</v>
      </c>
      <c r="BL73" s="54">
        <f t="shared" si="147"/>
        <v>14</v>
      </c>
      <c r="BM73" s="52">
        <f t="shared" si="147"/>
        <v>14</v>
      </c>
      <c r="BN73" s="53">
        <f t="shared" si="147"/>
        <v>14</v>
      </c>
      <c r="BO73" s="53">
        <f t="shared" si="147"/>
        <v>14</v>
      </c>
      <c r="BP73" s="53">
        <f t="shared" si="147"/>
        <v>14</v>
      </c>
      <c r="BQ73" s="53">
        <f t="shared" si="147"/>
        <v>14</v>
      </c>
      <c r="BR73" s="53">
        <f t="shared" si="147"/>
        <v>14</v>
      </c>
      <c r="BS73" s="53">
        <f t="shared" si="147"/>
        <v>14</v>
      </c>
      <c r="BT73" s="53">
        <f t="shared" si="147"/>
        <v>14</v>
      </c>
      <c r="BU73" s="53">
        <f t="shared" si="147"/>
        <v>14</v>
      </c>
      <c r="BV73" s="53">
        <f t="shared" si="147"/>
        <v>14</v>
      </c>
      <c r="BW73" s="53">
        <f t="shared" si="147"/>
        <v>14</v>
      </c>
      <c r="BX73" s="53">
        <f t="shared" si="147"/>
        <v>14</v>
      </c>
      <c r="BY73" s="53">
        <f t="shared" si="147"/>
        <v>14</v>
      </c>
      <c r="BZ73" s="53">
        <f t="shared" si="147"/>
        <v>14</v>
      </c>
      <c r="CA73" s="53">
        <f t="shared" si="147"/>
        <v>14</v>
      </c>
      <c r="CB73" s="53">
        <f t="shared" si="147"/>
        <v>14</v>
      </c>
      <c r="CC73" s="53">
        <f t="shared" si="147"/>
        <v>14</v>
      </c>
      <c r="CD73" s="53">
        <f t="shared" si="147"/>
        <v>14</v>
      </c>
      <c r="CE73" s="53">
        <f t="shared" si="147"/>
        <v>14</v>
      </c>
      <c r="CF73" s="53">
        <f t="shared" si="147"/>
        <v>14</v>
      </c>
      <c r="CG73" s="53">
        <f t="shared" si="147"/>
        <v>14</v>
      </c>
      <c r="CH73" s="53">
        <f t="shared" si="147"/>
        <v>14</v>
      </c>
      <c r="CI73" s="53">
        <f t="shared" ref="CI73:CQ73" si="148">14+CI74</f>
        <v>14</v>
      </c>
      <c r="CJ73" s="53">
        <f t="shared" si="148"/>
        <v>14</v>
      </c>
      <c r="CK73" s="53">
        <f t="shared" si="148"/>
        <v>14</v>
      </c>
      <c r="CL73" s="53">
        <f t="shared" si="148"/>
        <v>14</v>
      </c>
      <c r="CM73" s="53">
        <f t="shared" si="148"/>
        <v>14</v>
      </c>
      <c r="CN73" s="53">
        <f t="shared" si="148"/>
        <v>14</v>
      </c>
      <c r="CO73" s="53">
        <f t="shared" si="148"/>
        <v>14</v>
      </c>
      <c r="CP73" s="53">
        <f t="shared" si="148"/>
        <v>14</v>
      </c>
      <c r="CQ73" s="54">
        <f t="shared" si="148"/>
        <v>14</v>
      </c>
    </row>
    <row r="74" spans="1:95" x14ac:dyDescent="0.35">
      <c r="A74" s="206"/>
      <c r="B74" s="22" t="s">
        <v>17</v>
      </c>
      <c r="C74" s="223"/>
      <c r="D74" s="77">
        <v>-0.2</v>
      </c>
      <c r="E74" s="77">
        <v>-0.2</v>
      </c>
      <c r="F74" s="77">
        <v>-0.2</v>
      </c>
      <c r="G74" s="77">
        <v>-0.8</v>
      </c>
      <c r="H74" s="77">
        <v>-0.8</v>
      </c>
      <c r="I74" s="77">
        <v>-0.8</v>
      </c>
      <c r="J74" s="77">
        <v>-0.8</v>
      </c>
      <c r="K74" s="77">
        <v>-0.8</v>
      </c>
      <c r="L74" s="61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63"/>
      <c r="AI74" s="61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62"/>
      <c r="BM74" s="61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62"/>
    </row>
    <row r="75" spans="1:95" x14ac:dyDescent="0.35">
      <c r="A75" s="205" t="s">
        <v>48</v>
      </c>
      <c r="B75" s="22" t="s">
        <v>16</v>
      </c>
      <c r="C75" s="223"/>
      <c r="D75" s="108">
        <f t="shared" ref="D75:V75" si="149">2.4+D76</f>
        <v>2.4</v>
      </c>
      <c r="E75" s="53">
        <f t="shared" si="149"/>
        <v>2.4</v>
      </c>
      <c r="F75" s="53">
        <f t="shared" si="149"/>
        <v>2.4</v>
      </c>
      <c r="G75" s="53">
        <f t="shared" si="149"/>
        <v>2.4</v>
      </c>
      <c r="H75" s="53">
        <f t="shared" si="149"/>
        <v>2.4</v>
      </c>
      <c r="I75" s="53">
        <f t="shared" si="149"/>
        <v>2.4</v>
      </c>
      <c r="J75" s="53">
        <f t="shared" si="149"/>
        <v>2.4</v>
      </c>
      <c r="K75" s="53">
        <f t="shared" si="149"/>
        <v>2.4</v>
      </c>
      <c r="L75" s="53">
        <f t="shared" si="149"/>
        <v>2.4</v>
      </c>
      <c r="M75" s="53">
        <f t="shared" si="149"/>
        <v>2.4</v>
      </c>
      <c r="N75" s="53">
        <f t="shared" si="149"/>
        <v>2.4</v>
      </c>
      <c r="O75" s="53">
        <f t="shared" si="149"/>
        <v>2.4</v>
      </c>
      <c r="P75" s="53">
        <f t="shared" si="149"/>
        <v>2.4</v>
      </c>
      <c r="Q75" s="53">
        <f t="shared" si="149"/>
        <v>2.4</v>
      </c>
      <c r="R75" s="53">
        <f t="shared" si="149"/>
        <v>2.4</v>
      </c>
      <c r="S75" s="53">
        <f t="shared" si="149"/>
        <v>2.4</v>
      </c>
      <c r="T75" s="53">
        <f t="shared" si="149"/>
        <v>2.4</v>
      </c>
      <c r="U75" s="53">
        <f t="shared" si="149"/>
        <v>2.4</v>
      </c>
      <c r="V75" s="53">
        <f t="shared" si="149"/>
        <v>2.4</v>
      </c>
      <c r="W75" s="53">
        <f t="shared" ref="W75:CH75" si="150">2.4+W76</f>
        <v>2.4</v>
      </c>
      <c r="X75" s="53">
        <f t="shared" si="150"/>
        <v>2.4</v>
      </c>
      <c r="Y75" s="53">
        <f t="shared" si="150"/>
        <v>2.4</v>
      </c>
      <c r="Z75" s="53">
        <f t="shared" si="150"/>
        <v>2.4</v>
      </c>
      <c r="AA75" s="53">
        <f t="shared" si="150"/>
        <v>2.4</v>
      </c>
      <c r="AB75" s="53">
        <f t="shared" si="150"/>
        <v>2.4</v>
      </c>
      <c r="AC75" s="53">
        <f t="shared" si="150"/>
        <v>2.4</v>
      </c>
      <c r="AD75" s="53">
        <f t="shared" si="150"/>
        <v>2.4</v>
      </c>
      <c r="AE75" s="53">
        <f t="shared" si="150"/>
        <v>2.4</v>
      </c>
      <c r="AF75" s="53">
        <f t="shared" si="150"/>
        <v>2.4</v>
      </c>
      <c r="AG75" s="53">
        <f t="shared" si="150"/>
        <v>2.4</v>
      </c>
      <c r="AH75" s="55">
        <f t="shared" si="150"/>
        <v>2.4</v>
      </c>
      <c r="AI75" s="52">
        <f t="shared" si="150"/>
        <v>2.4</v>
      </c>
      <c r="AJ75" s="53">
        <f t="shared" si="150"/>
        <v>2.4</v>
      </c>
      <c r="AK75" s="53">
        <f t="shared" si="150"/>
        <v>2.4</v>
      </c>
      <c r="AL75" s="53">
        <f t="shared" si="150"/>
        <v>2.4</v>
      </c>
      <c r="AM75" s="53">
        <f t="shared" si="150"/>
        <v>2.4</v>
      </c>
      <c r="AN75" s="53">
        <f t="shared" si="150"/>
        <v>2.4</v>
      </c>
      <c r="AO75" s="53">
        <f t="shared" si="150"/>
        <v>2.4</v>
      </c>
      <c r="AP75" s="53">
        <f t="shared" si="150"/>
        <v>2.4</v>
      </c>
      <c r="AQ75" s="53">
        <f t="shared" si="150"/>
        <v>2.4</v>
      </c>
      <c r="AR75" s="53">
        <f t="shared" si="150"/>
        <v>2.4</v>
      </c>
      <c r="AS75" s="53">
        <f t="shared" si="150"/>
        <v>2.4</v>
      </c>
      <c r="AT75" s="53">
        <f t="shared" si="150"/>
        <v>2.4</v>
      </c>
      <c r="AU75" s="53">
        <f t="shared" si="150"/>
        <v>2.4</v>
      </c>
      <c r="AV75" s="53">
        <f t="shared" si="150"/>
        <v>2.4</v>
      </c>
      <c r="AW75" s="53">
        <f t="shared" si="150"/>
        <v>2.4</v>
      </c>
      <c r="AX75" s="53">
        <f t="shared" si="150"/>
        <v>2.4</v>
      </c>
      <c r="AY75" s="53">
        <f t="shared" si="150"/>
        <v>2.4</v>
      </c>
      <c r="AZ75" s="53">
        <f t="shared" si="150"/>
        <v>2.4</v>
      </c>
      <c r="BA75" s="53">
        <f t="shared" si="150"/>
        <v>2.4</v>
      </c>
      <c r="BB75" s="53">
        <f t="shared" si="150"/>
        <v>2.4</v>
      </c>
      <c r="BC75" s="53">
        <f t="shared" si="150"/>
        <v>2.4</v>
      </c>
      <c r="BD75" s="53">
        <f t="shared" si="150"/>
        <v>2.4</v>
      </c>
      <c r="BE75" s="53">
        <f t="shared" si="150"/>
        <v>2.4</v>
      </c>
      <c r="BF75" s="53">
        <f t="shared" si="150"/>
        <v>2.4</v>
      </c>
      <c r="BG75" s="53">
        <f t="shared" si="150"/>
        <v>2.4</v>
      </c>
      <c r="BH75" s="53">
        <f t="shared" si="150"/>
        <v>2.4</v>
      </c>
      <c r="BI75" s="53">
        <f t="shared" si="150"/>
        <v>2.4</v>
      </c>
      <c r="BJ75" s="53">
        <f t="shared" si="150"/>
        <v>2.4</v>
      </c>
      <c r="BK75" s="53">
        <f t="shared" si="150"/>
        <v>2.4</v>
      </c>
      <c r="BL75" s="54">
        <f t="shared" si="150"/>
        <v>2.4</v>
      </c>
      <c r="BM75" s="52">
        <f t="shared" si="150"/>
        <v>2.4</v>
      </c>
      <c r="BN75" s="53">
        <f t="shared" si="150"/>
        <v>2.4</v>
      </c>
      <c r="BO75" s="53">
        <f t="shared" si="150"/>
        <v>2.4</v>
      </c>
      <c r="BP75" s="53">
        <f t="shared" si="150"/>
        <v>2.4</v>
      </c>
      <c r="BQ75" s="53">
        <f t="shared" si="150"/>
        <v>2.4</v>
      </c>
      <c r="BR75" s="53">
        <f t="shared" si="150"/>
        <v>2.4</v>
      </c>
      <c r="BS75" s="53">
        <f t="shared" si="150"/>
        <v>2.4</v>
      </c>
      <c r="BT75" s="53">
        <f t="shared" si="150"/>
        <v>2.4</v>
      </c>
      <c r="BU75" s="53">
        <f t="shared" si="150"/>
        <v>2.4</v>
      </c>
      <c r="BV75" s="53">
        <f t="shared" si="150"/>
        <v>2.4</v>
      </c>
      <c r="BW75" s="53">
        <f t="shared" si="150"/>
        <v>2.4</v>
      </c>
      <c r="BX75" s="53">
        <f t="shared" si="150"/>
        <v>2.4</v>
      </c>
      <c r="BY75" s="53">
        <f t="shared" si="150"/>
        <v>2.4</v>
      </c>
      <c r="BZ75" s="53">
        <f t="shared" si="150"/>
        <v>2.4</v>
      </c>
      <c r="CA75" s="53">
        <f t="shared" si="150"/>
        <v>2.4</v>
      </c>
      <c r="CB75" s="53">
        <f t="shared" si="150"/>
        <v>2.4</v>
      </c>
      <c r="CC75" s="53">
        <f t="shared" si="150"/>
        <v>2.4</v>
      </c>
      <c r="CD75" s="53">
        <f t="shared" si="150"/>
        <v>2.4</v>
      </c>
      <c r="CE75" s="53">
        <f t="shared" si="150"/>
        <v>2.4</v>
      </c>
      <c r="CF75" s="53">
        <f t="shared" si="150"/>
        <v>2.4</v>
      </c>
      <c r="CG75" s="53">
        <f t="shared" si="150"/>
        <v>2.4</v>
      </c>
      <c r="CH75" s="53">
        <f t="shared" si="150"/>
        <v>2.4</v>
      </c>
      <c r="CI75" s="53">
        <f t="shared" ref="CI75:CQ75" si="151">2.4+CI76</f>
        <v>2.4</v>
      </c>
      <c r="CJ75" s="53">
        <f t="shared" si="151"/>
        <v>2.4</v>
      </c>
      <c r="CK75" s="53">
        <f t="shared" si="151"/>
        <v>2.4</v>
      </c>
      <c r="CL75" s="53">
        <f t="shared" si="151"/>
        <v>2.4</v>
      </c>
      <c r="CM75" s="53">
        <f t="shared" si="151"/>
        <v>2.4</v>
      </c>
      <c r="CN75" s="53">
        <f t="shared" si="151"/>
        <v>2.4</v>
      </c>
      <c r="CO75" s="53">
        <f t="shared" si="151"/>
        <v>2.4</v>
      </c>
      <c r="CP75" s="53">
        <f t="shared" si="151"/>
        <v>2.4</v>
      </c>
      <c r="CQ75" s="54">
        <f t="shared" si="151"/>
        <v>2.4</v>
      </c>
    </row>
    <row r="76" spans="1:95" ht="15" thickBot="1" x14ac:dyDescent="0.4">
      <c r="A76" s="220"/>
      <c r="B76" s="23" t="s">
        <v>17</v>
      </c>
      <c r="C76" s="223"/>
      <c r="D76" s="122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8"/>
      <c r="AI76" s="65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7"/>
      <c r="BM76" s="65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7"/>
    </row>
    <row r="77" spans="1:95" x14ac:dyDescent="0.35">
      <c r="A77" s="10" t="s">
        <v>49</v>
      </c>
      <c r="B77" s="24"/>
      <c r="C77" s="223"/>
      <c r="D77" s="123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64"/>
      <c r="AI77" s="167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  <c r="BJ77" s="124"/>
      <c r="BK77" s="124"/>
      <c r="BL77" s="125"/>
      <c r="BM77" s="167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4"/>
      <c r="CD77" s="124"/>
      <c r="CE77" s="124"/>
      <c r="CF77" s="124"/>
      <c r="CG77" s="124"/>
      <c r="CH77" s="124"/>
      <c r="CI77" s="124"/>
      <c r="CJ77" s="124"/>
      <c r="CK77" s="124"/>
      <c r="CL77" s="124"/>
      <c r="CM77" s="124"/>
      <c r="CN77" s="124"/>
      <c r="CO77" s="124"/>
      <c r="CP77" s="124"/>
      <c r="CQ77" s="125"/>
    </row>
    <row r="78" spans="1:95" x14ac:dyDescent="0.35">
      <c r="A78" s="10" t="s">
        <v>50</v>
      </c>
      <c r="B78" s="25"/>
      <c r="C78" s="223"/>
      <c r="D78" s="156">
        <v>8.5</v>
      </c>
      <c r="E78" s="156">
        <v>8.5</v>
      </c>
      <c r="F78" s="156">
        <v>8.5</v>
      </c>
      <c r="G78" s="156">
        <v>8.5</v>
      </c>
      <c r="H78" s="156">
        <v>8.5</v>
      </c>
      <c r="I78" s="156">
        <v>8.5</v>
      </c>
      <c r="J78" s="156">
        <v>8.5</v>
      </c>
      <c r="K78" s="156">
        <v>8.5</v>
      </c>
      <c r="L78" s="156">
        <v>8.5</v>
      </c>
      <c r="M78" s="156">
        <v>8.5</v>
      </c>
      <c r="N78" s="156">
        <v>8.5</v>
      </c>
      <c r="O78" s="156">
        <v>8.5</v>
      </c>
      <c r="P78" s="156">
        <v>8.5</v>
      </c>
      <c r="Q78" s="131">
        <v>4</v>
      </c>
      <c r="R78" s="131">
        <v>4</v>
      </c>
      <c r="S78" s="131">
        <v>6</v>
      </c>
      <c r="T78" s="131">
        <v>6</v>
      </c>
      <c r="U78" s="131">
        <v>6</v>
      </c>
      <c r="V78" s="131">
        <v>6</v>
      </c>
      <c r="W78" s="131">
        <v>6</v>
      </c>
      <c r="X78" s="156">
        <v>8.5</v>
      </c>
      <c r="Y78" s="156">
        <v>8.5</v>
      </c>
      <c r="Z78" s="156">
        <v>8.5</v>
      </c>
      <c r="AA78" s="156">
        <v>8.5</v>
      </c>
      <c r="AB78" s="156">
        <v>8.5</v>
      </c>
      <c r="AC78" s="156">
        <v>8.5</v>
      </c>
      <c r="AD78" s="156">
        <v>8.5</v>
      </c>
      <c r="AE78" s="156">
        <v>8.5</v>
      </c>
      <c r="AF78" s="156">
        <v>8.5</v>
      </c>
      <c r="AG78" s="156">
        <v>8.5</v>
      </c>
      <c r="AH78" s="156">
        <v>8.5</v>
      </c>
      <c r="AI78" s="156">
        <v>8.5</v>
      </c>
      <c r="AJ78" s="156">
        <v>8.5</v>
      </c>
      <c r="AK78" s="156">
        <v>8.5</v>
      </c>
      <c r="AL78" s="126">
        <v>8.5</v>
      </c>
      <c r="AM78" s="126">
        <v>8.5</v>
      </c>
      <c r="AN78" s="127">
        <v>4</v>
      </c>
      <c r="AO78" s="127">
        <v>4</v>
      </c>
      <c r="AP78" s="127">
        <v>4</v>
      </c>
      <c r="AQ78" s="127">
        <v>4</v>
      </c>
      <c r="AR78" s="127">
        <v>0</v>
      </c>
      <c r="AS78" s="127">
        <v>4</v>
      </c>
      <c r="AT78" s="127">
        <v>4</v>
      </c>
      <c r="AU78" s="126">
        <v>8.5</v>
      </c>
      <c r="AV78" s="126">
        <v>8.5</v>
      </c>
      <c r="AW78" s="126">
        <v>8.5</v>
      </c>
      <c r="AX78" s="127">
        <v>5</v>
      </c>
      <c r="AY78" s="127">
        <v>0</v>
      </c>
      <c r="AZ78" s="127">
        <v>6</v>
      </c>
      <c r="BA78" s="127">
        <v>6</v>
      </c>
      <c r="BB78" s="127">
        <v>6</v>
      </c>
      <c r="BC78" s="126">
        <v>8.5</v>
      </c>
      <c r="BD78" s="126">
        <v>8.5</v>
      </c>
      <c r="BE78" s="126">
        <v>8.5</v>
      </c>
      <c r="BF78" s="127">
        <v>0</v>
      </c>
      <c r="BG78" s="126">
        <v>8.5</v>
      </c>
      <c r="BH78" s="126">
        <v>8.5</v>
      </c>
      <c r="BI78" s="126">
        <v>8.5</v>
      </c>
      <c r="BJ78" s="126">
        <v>8.5</v>
      </c>
      <c r="BK78" s="126">
        <v>8.5</v>
      </c>
      <c r="BL78" s="126">
        <v>8.5</v>
      </c>
      <c r="BM78" s="127">
        <v>0</v>
      </c>
      <c r="BN78" s="126">
        <v>8.5</v>
      </c>
      <c r="BO78" s="126">
        <v>8.5</v>
      </c>
      <c r="BP78" s="126">
        <v>8.5</v>
      </c>
      <c r="BQ78" s="126">
        <v>8.5</v>
      </c>
      <c r="BR78" s="126">
        <v>8.5</v>
      </c>
      <c r="BS78" s="126">
        <v>8.5</v>
      </c>
      <c r="BT78" s="127">
        <v>0</v>
      </c>
      <c r="BU78" s="126">
        <v>8.5</v>
      </c>
      <c r="BV78" s="126">
        <v>8.5</v>
      </c>
      <c r="BW78" s="126">
        <v>8.5</v>
      </c>
      <c r="BX78" s="126">
        <v>8.5</v>
      </c>
      <c r="BY78" s="126">
        <v>8.5</v>
      </c>
      <c r="BZ78" s="127">
        <v>2</v>
      </c>
      <c r="CA78" s="126">
        <v>8.5</v>
      </c>
      <c r="CB78" s="127">
        <v>2</v>
      </c>
      <c r="CC78" s="126">
        <v>8.5</v>
      </c>
      <c r="CD78" s="126">
        <v>8.5</v>
      </c>
      <c r="CE78" s="126">
        <v>8.5</v>
      </c>
      <c r="CF78" s="126">
        <v>8.5</v>
      </c>
      <c r="CG78" s="126">
        <v>8.5</v>
      </c>
      <c r="CH78" s="126">
        <v>8.5</v>
      </c>
      <c r="CI78" s="126">
        <v>8.5</v>
      </c>
      <c r="CJ78" s="126">
        <v>8.5</v>
      </c>
      <c r="CK78" s="126">
        <v>8.5</v>
      </c>
      <c r="CL78" s="126">
        <v>8.5</v>
      </c>
      <c r="CM78" s="126">
        <v>8.5</v>
      </c>
      <c r="CN78" s="126">
        <v>8.5</v>
      </c>
      <c r="CO78" s="126">
        <v>8.5</v>
      </c>
      <c r="CP78" s="126">
        <v>8.5</v>
      </c>
      <c r="CQ78" s="126">
        <v>8.5</v>
      </c>
    </row>
    <row r="79" spans="1:95" x14ac:dyDescent="0.35">
      <c r="A79" s="10" t="s">
        <v>51</v>
      </c>
      <c r="B79" s="25"/>
      <c r="C79" s="223"/>
      <c r="D79" s="132">
        <v>6</v>
      </c>
      <c r="E79" s="132">
        <v>6</v>
      </c>
      <c r="F79" s="132">
        <v>6</v>
      </c>
      <c r="G79" s="132">
        <v>6</v>
      </c>
      <c r="H79" s="132">
        <v>6</v>
      </c>
      <c r="I79" s="132">
        <v>6</v>
      </c>
      <c r="J79" s="132">
        <v>6</v>
      </c>
      <c r="K79" s="132">
        <v>6</v>
      </c>
      <c r="L79" s="132">
        <v>6</v>
      </c>
      <c r="M79" s="132">
        <v>6</v>
      </c>
      <c r="N79" s="132">
        <v>6</v>
      </c>
      <c r="O79" s="132">
        <v>6</v>
      </c>
      <c r="P79" s="132">
        <v>6</v>
      </c>
      <c r="Q79" s="132">
        <v>6</v>
      </c>
      <c r="R79" s="132">
        <v>6</v>
      </c>
      <c r="S79" s="132">
        <v>6</v>
      </c>
      <c r="T79" s="132">
        <v>6</v>
      </c>
      <c r="U79" s="132">
        <v>6</v>
      </c>
      <c r="V79" s="132">
        <v>6</v>
      </c>
      <c r="W79" s="132">
        <v>6</v>
      </c>
      <c r="X79" s="132">
        <v>6</v>
      </c>
      <c r="Y79" s="132">
        <v>6</v>
      </c>
      <c r="Z79" s="132">
        <v>6</v>
      </c>
      <c r="AA79" s="132">
        <v>6</v>
      </c>
      <c r="AB79" s="132">
        <v>6</v>
      </c>
      <c r="AC79" s="132">
        <v>6</v>
      </c>
      <c r="AD79" s="132">
        <v>6</v>
      </c>
      <c r="AE79" s="132">
        <v>6</v>
      </c>
      <c r="AF79" s="132">
        <v>6</v>
      </c>
      <c r="AG79" s="132">
        <v>6</v>
      </c>
      <c r="AH79" s="132">
        <v>6</v>
      </c>
      <c r="AI79" s="132">
        <v>6</v>
      </c>
      <c r="AJ79" s="132">
        <v>6</v>
      </c>
      <c r="AK79" s="132">
        <v>6</v>
      </c>
      <c r="AL79" s="132">
        <v>6</v>
      </c>
      <c r="AM79" s="132">
        <v>6</v>
      </c>
      <c r="AN79" s="132">
        <v>6</v>
      </c>
      <c r="AO79" s="132">
        <v>6</v>
      </c>
      <c r="AP79" s="132">
        <v>6</v>
      </c>
      <c r="AQ79" s="132">
        <v>6</v>
      </c>
      <c r="AR79" s="132">
        <v>6</v>
      </c>
      <c r="AS79" s="132">
        <v>6</v>
      </c>
      <c r="AT79" s="132">
        <v>6</v>
      </c>
      <c r="AU79" s="132">
        <v>6</v>
      </c>
      <c r="AV79" s="132">
        <v>6</v>
      </c>
      <c r="AW79" s="132">
        <v>6</v>
      </c>
      <c r="AX79" s="132">
        <v>6</v>
      </c>
      <c r="AY79" s="132">
        <v>6</v>
      </c>
      <c r="AZ79" s="132">
        <v>6</v>
      </c>
      <c r="BA79" s="132">
        <v>6</v>
      </c>
      <c r="BB79" s="132">
        <v>6</v>
      </c>
      <c r="BC79" s="132">
        <v>6</v>
      </c>
      <c r="BD79" s="132">
        <v>6</v>
      </c>
      <c r="BE79" s="132">
        <v>6</v>
      </c>
      <c r="BF79" s="132">
        <v>6</v>
      </c>
      <c r="BG79" s="132">
        <v>6</v>
      </c>
      <c r="BH79" s="132">
        <v>6</v>
      </c>
      <c r="BI79" s="132">
        <v>6</v>
      </c>
      <c r="BJ79" s="132">
        <v>6</v>
      </c>
      <c r="BK79" s="132">
        <v>6</v>
      </c>
      <c r="BL79" s="132">
        <v>6</v>
      </c>
      <c r="BM79" s="132">
        <v>6</v>
      </c>
      <c r="BN79" s="132">
        <v>6</v>
      </c>
      <c r="BO79" s="132">
        <v>6</v>
      </c>
      <c r="BP79" s="132">
        <v>6</v>
      </c>
      <c r="BQ79" s="132">
        <v>6</v>
      </c>
      <c r="BR79" s="132">
        <v>6</v>
      </c>
      <c r="BS79" s="132">
        <v>6</v>
      </c>
      <c r="BT79" s="132">
        <v>6</v>
      </c>
      <c r="BU79" s="132">
        <v>6</v>
      </c>
      <c r="BV79" s="132">
        <v>6</v>
      </c>
      <c r="BW79" s="132">
        <v>6</v>
      </c>
      <c r="BX79" s="132">
        <v>6</v>
      </c>
      <c r="BY79" s="132">
        <v>6</v>
      </c>
      <c r="BZ79" s="132">
        <v>6</v>
      </c>
      <c r="CA79" s="132">
        <v>6</v>
      </c>
      <c r="CB79" s="132">
        <v>6</v>
      </c>
      <c r="CC79" s="132">
        <v>6</v>
      </c>
      <c r="CD79" s="132">
        <v>6</v>
      </c>
      <c r="CE79" s="132">
        <v>6</v>
      </c>
      <c r="CF79" s="132">
        <v>6</v>
      </c>
      <c r="CG79" s="132">
        <v>6</v>
      </c>
      <c r="CH79" s="132">
        <v>6</v>
      </c>
      <c r="CI79" s="132">
        <v>6</v>
      </c>
      <c r="CJ79" s="132">
        <v>6</v>
      </c>
      <c r="CK79" s="132">
        <v>6</v>
      </c>
      <c r="CL79" s="132">
        <v>6</v>
      </c>
      <c r="CM79" s="132">
        <v>6</v>
      </c>
      <c r="CN79" s="132">
        <v>6</v>
      </c>
      <c r="CO79" s="132">
        <v>6</v>
      </c>
      <c r="CP79" s="132">
        <v>6</v>
      </c>
      <c r="CQ79" s="132">
        <v>6</v>
      </c>
    </row>
    <row r="80" spans="1:95" x14ac:dyDescent="0.35">
      <c r="A80" s="10" t="s">
        <v>52</v>
      </c>
      <c r="B80" s="25"/>
      <c r="C80" s="223"/>
      <c r="D80" s="137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5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4"/>
      <c r="BO80" s="134"/>
      <c r="BP80" s="134"/>
      <c r="BQ80" s="134"/>
      <c r="BR80" s="134"/>
      <c r="BS80" s="134"/>
      <c r="BT80" s="134"/>
      <c r="BU80" s="134"/>
      <c r="BV80" s="134"/>
      <c r="BW80" s="134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6"/>
    </row>
    <row r="81" spans="1:95" x14ac:dyDescent="0.35">
      <c r="A81" s="26" t="s">
        <v>26</v>
      </c>
      <c r="B81" s="25"/>
      <c r="C81" s="223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91">
        <v>0.7</v>
      </c>
      <c r="Y81" s="191">
        <v>0.7</v>
      </c>
      <c r="Z81" s="191">
        <v>0.7</v>
      </c>
      <c r="AA81" s="191">
        <v>0.7</v>
      </c>
      <c r="AB81" s="191">
        <v>0.7</v>
      </c>
      <c r="AC81" s="191">
        <v>0.7</v>
      </c>
      <c r="AD81" s="191">
        <v>0.7</v>
      </c>
      <c r="AE81" s="191">
        <v>0.7</v>
      </c>
      <c r="AF81" s="191">
        <v>0.7</v>
      </c>
      <c r="AG81" s="191">
        <v>0.7</v>
      </c>
      <c r="AH81" s="191">
        <v>1.9</v>
      </c>
      <c r="AI81" s="191">
        <v>1.9</v>
      </c>
      <c r="AJ81" s="191">
        <v>1.9</v>
      </c>
      <c r="AK81" s="191">
        <v>1.9</v>
      </c>
      <c r="AL81" s="191">
        <v>1.9</v>
      </c>
      <c r="AM81" s="191">
        <v>1.2</v>
      </c>
      <c r="AN81" s="191">
        <v>1.2</v>
      </c>
      <c r="AO81" s="191">
        <v>1.2</v>
      </c>
      <c r="AP81" s="191">
        <v>1.2</v>
      </c>
      <c r="AQ81" s="191">
        <v>1.2</v>
      </c>
      <c r="AR81" s="191">
        <v>1.2</v>
      </c>
      <c r="AS81" s="191">
        <v>1.2</v>
      </c>
      <c r="AT81" s="134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6"/>
      <c r="BM81" s="133"/>
      <c r="BN81" s="134"/>
      <c r="BO81" s="134"/>
      <c r="BP81" s="134"/>
      <c r="BQ81" s="134"/>
      <c r="BR81" s="134"/>
      <c r="BS81" s="134"/>
      <c r="BT81" s="134"/>
      <c r="BU81" s="134"/>
      <c r="BV81" s="134"/>
      <c r="BW81" s="134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6"/>
    </row>
    <row r="82" spans="1:95" ht="15" thickBot="1" x14ac:dyDescent="0.4">
      <c r="A82" s="27" t="s">
        <v>53</v>
      </c>
      <c r="B82" s="28"/>
      <c r="C82" s="223"/>
      <c r="D82" s="192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4">
        <v>0</v>
      </c>
      <c r="Q82" s="194">
        <v>0</v>
      </c>
      <c r="R82" s="194">
        <v>0</v>
      </c>
      <c r="S82" s="194">
        <v>0</v>
      </c>
      <c r="T82" s="194">
        <v>0</v>
      </c>
      <c r="U82" s="194">
        <v>0</v>
      </c>
      <c r="V82" s="194">
        <v>0</v>
      </c>
      <c r="W82" s="194">
        <v>0</v>
      </c>
      <c r="X82" s="194">
        <v>0</v>
      </c>
      <c r="Y82" s="194">
        <v>0</v>
      </c>
      <c r="Z82" s="194">
        <v>0</v>
      </c>
      <c r="AA82" s="194">
        <v>0</v>
      </c>
      <c r="AB82" s="194">
        <v>0</v>
      </c>
      <c r="AC82" s="193"/>
      <c r="AD82" s="193"/>
      <c r="AE82" s="193"/>
      <c r="AF82" s="193"/>
      <c r="AG82" s="193"/>
      <c r="AH82" s="197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194">
        <v>0</v>
      </c>
      <c r="AY82" s="194">
        <v>0</v>
      </c>
      <c r="AZ82" s="194">
        <v>0</v>
      </c>
      <c r="BA82" s="194">
        <v>0</v>
      </c>
      <c r="BB82" s="194">
        <v>0</v>
      </c>
      <c r="BC82" s="194">
        <v>0</v>
      </c>
      <c r="BD82" s="194">
        <v>0</v>
      </c>
      <c r="BE82" s="193"/>
      <c r="BF82" s="193"/>
      <c r="BG82" s="193"/>
      <c r="BH82" s="193"/>
      <c r="BI82" s="193"/>
      <c r="BJ82" s="193"/>
      <c r="BK82" s="193"/>
      <c r="BL82" s="195"/>
      <c r="BM82" s="82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4"/>
    </row>
    <row r="83" spans="1:95" ht="15" thickBot="1" x14ac:dyDescent="0.4">
      <c r="A83" s="29" t="s">
        <v>28</v>
      </c>
      <c r="B83" s="30"/>
      <c r="C83" s="223"/>
      <c r="D83" s="196">
        <f t="shared" ref="D83:P83" si="152">+D38+D40</f>
        <v>0</v>
      </c>
      <c r="E83" s="196">
        <f t="shared" si="152"/>
        <v>0</v>
      </c>
      <c r="F83" s="196">
        <f t="shared" si="152"/>
        <v>0</v>
      </c>
      <c r="G83" s="196">
        <f t="shared" si="152"/>
        <v>0</v>
      </c>
      <c r="H83" s="196">
        <f t="shared" si="152"/>
        <v>0</v>
      </c>
      <c r="I83" s="196">
        <f t="shared" si="152"/>
        <v>0</v>
      </c>
      <c r="J83" s="196">
        <f t="shared" si="152"/>
        <v>0</v>
      </c>
      <c r="K83" s="196">
        <f t="shared" si="152"/>
        <v>0</v>
      </c>
      <c r="L83" s="196">
        <f t="shared" si="152"/>
        <v>0</v>
      </c>
      <c r="M83" s="196">
        <f t="shared" si="152"/>
        <v>0</v>
      </c>
      <c r="N83" s="196">
        <f t="shared" si="152"/>
        <v>0</v>
      </c>
      <c r="O83" s="196">
        <f t="shared" si="152"/>
        <v>-1.7</v>
      </c>
      <c r="P83" s="196">
        <f t="shared" si="152"/>
        <v>-6.7</v>
      </c>
      <c r="Q83" s="196">
        <f>+Q38+Q40</f>
        <v>-8.6999999999999993</v>
      </c>
      <c r="R83" s="196">
        <f t="shared" ref="R83:CC83" si="153">+R38+R40</f>
        <v>-6.7</v>
      </c>
      <c r="S83" s="196">
        <f t="shared" si="153"/>
        <v>-9.6999999999999993</v>
      </c>
      <c r="T83" s="196">
        <f t="shared" si="153"/>
        <v>-4.7</v>
      </c>
      <c r="U83" s="196">
        <f t="shared" si="153"/>
        <v>-4.7</v>
      </c>
      <c r="V83" s="196">
        <f t="shared" si="153"/>
        <v>-6.7</v>
      </c>
      <c r="W83" s="196">
        <f t="shared" si="153"/>
        <v>-4.7</v>
      </c>
      <c r="X83" s="196">
        <f t="shared" si="153"/>
        <v>0</v>
      </c>
      <c r="Y83" s="196">
        <f t="shared" si="153"/>
        <v>0</v>
      </c>
      <c r="Z83" s="196">
        <f t="shared" si="153"/>
        <v>0</v>
      </c>
      <c r="AA83" s="196">
        <f t="shared" si="153"/>
        <v>0</v>
      </c>
      <c r="AB83" s="196">
        <f t="shared" si="153"/>
        <v>0</v>
      </c>
      <c r="AC83" s="196">
        <f t="shared" si="153"/>
        <v>-2</v>
      </c>
      <c r="AD83" s="196">
        <f t="shared" si="153"/>
        <v>-2</v>
      </c>
      <c r="AE83" s="196">
        <f t="shared" si="153"/>
        <v>-2</v>
      </c>
      <c r="AF83" s="196">
        <f t="shared" si="153"/>
        <v>-2</v>
      </c>
      <c r="AG83" s="196">
        <f t="shared" si="153"/>
        <v>-2</v>
      </c>
      <c r="AH83" s="196">
        <f t="shared" si="153"/>
        <v>-2</v>
      </c>
      <c r="AI83" s="196">
        <f t="shared" si="153"/>
        <v>0</v>
      </c>
      <c r="AJ83" s="196">
        <f t="shared" si="153"/>
        <v>-3.7</v>
      </c>
      <c r="AK83" s="196">
        <f t="shared" si="153"/>
        <v>-3.7</v>
      </c>
      <c r="AL83" s="196">
        <f t="shared" si="153"/>
        <v>-13.2</v>
      </c>
      <c r="AM83" s="196">
        <f t="shared" si="153"/>
        <v>0</v>
      </c>
      <c r="AN83" s="196">
        <f t="shared" si="153"/>
        <v>-9.6999999999999993</v>
      </c>
      <c r="AO83" s="196">
        <f t="shared" si="153"/>
        <v>-12.7</v>
      </c>
      <c r="AP83" s="196">
        <f t="shared" si="153"/>
        <v>-12.7</v>
      </c>
      <c r="AQ83" s="196">
        <f t="shared" si="153"/>
        <v>-12.7</v>
      </c>
      <c r="AR83" s="196">
        <f t="shared" si="153"/>
        <v>-10.7</v>
      </c>
      <c r="AS83" s="196">
        <f t="shared" si="153"/>
        <v>-6.7</v>
      </c>
      <c r="AT83" s="196">
        <f t="shared" si="153"/>
        <v>-16.2</v>
      </c>
      <c r="AU83" s="196">
        <f t="shared" si="153"/>
        <v>-10.5</v>
      </c>
      <c r="AV83" s="196">
        <f t="shared" si="153"/>
        <v>-1</v>
      </c>
      <c r="AW83" s="196">
        <f t="shared" si="153"/>
        <v>-1</v>
      </c>
      <c r="AX83" s="196">
        <f t="shared" si="153"/>
        <v>-10.7</v>
      </c>
      <c r="AY83" s="196">
        <f t="shared" si="153"/>
        <v>-14.7</v>
      </c>
      <c r="AZ83" s="196">
        <f t="shared" si="153"/>
        <v>-8.6999999999999993</v>
      </c>
      <c r="BA83" s="196">
        <f t="shared" si="153"/>
        <v>-11.7</v>
      </c>
      <c r="BB83" s="196">
        <f t="shared" si="153"/>
        <v>-11.7</v>
      </c>
      <c r="BC83" s="196">
        <f t="shared" si="153"/>
        <v>0</v>
      </c>
      <c r="BD83" s="196">
        <f t="shared" si="153"/>
        <v>0</v>
      </c>
      <c r="BE83" s="196">
        <f t="shared" si="153"/>
        <v>-3.8</v>
      </c>
      <c r="BF83" s="196">
        <f t="shared" si="153"/>
        <v>-14.5</v>
      </c>
      <c r="BG83" s="196">
        <f t="shared" si="153"/>
        <v>0</v>
      </c>
      <c r="BH83" s="196">
        <f t="shared" si="153"/>
        <v>0</v>
      </c>
      <c r="BI83" s="196">
        <f t="shared" si="153"/>
        <v>0</v>
      </c>
      <c r="BJ83" s="196">
        <f t="shared" si="153"/>
        <v>0</v>
      </c>
      <c r="BK83" s="196">
        <f t="shared" si="153"/>
        <v>0</v>
      </c>
      <c r="BL83" s="196">
        <f t="shared" si="153"/>
        <v>-4</v>
      </c>
      <c r="BM83" s="196">
        <f t="shared" si="153"/>
        <v>-14.7</v>
      </c>
      <c r="BN83" s="196">
        <f t="shared" si="153"/>
        <v>-4</v>
      </c>
      <c r="BO83" s="196">
        <f t="shared" si="153"/>
        <v>0</v>
      </c>
      <c r="BP83" s="196">
        <f t="shared" si="153"/>
        <v>0</v>
      </c>
      <c r="BQ83" s="196">
        <f t="shared" si="153"/>
        <v>0</v>
      </c>
      <c r="BR83" s="196">
        <f t="shared" si="153"/>
        <v>0</v>
      </c>
      <c r="BS83" s="196">
        <f t="shared" si="153"/>
        <v>0</v>
      </c>
      <c r="BT83" s="196">
        <f t="shared" si="153"/>
        <v>-10.7</v>
      </c>
      <c r="BU83" s="196">
        <f t="shared" si="153"/>
        <v>0</v>
      </c>
      <c r="BV83" s="196">
        <f t="shared" si="153"/>
        <v>0</v>
      </c>
      <c r="BW83" s="196">
        <f t="shared" si="153"/>
        <v>0</v>
      </c>
      <c r="BX83" s="196">
        <f t="shared" si="153"/>
        <v>0</v>
      </c>
      <c r="BY83" s="196">
        <f t="shared" si="153"/>
        <v>0</v>
      </c>
      <c r="BZ83" s="196">
        <f t="shared" si="153"/>
        <v>-7.7</v>
      </c>
      <c r="CA83" s="196">
        <f t="shared" si="153"/>
        <v>0</v>
      </c>
      <c r="CB83" s="196">
        <f t="shared" si="153"/>
        <v>-7.7</v>
      </c>
      <c r="CC83" s="196">
        <f t="shared" si="153"/>
        <v>0</v>
      </c>
      <c r="CD83" s="196">
        <f t="shared" ref="CD83:CQ83" si="154">+CD38+CD40</f>
        <v>0</v>
      </c>
      <c r="CE83" s="196">
        <f t="shared" si="154"/>
        <v>0</v>
      </c>
      <c r="CF83" s="196">
        <f t="shared" si="154"/>
        <v>0</v>
      </c>
      <c r="CG83" s="196">
        <f t="shared" si="154"/>
        <v>0</v>
      </c>
      <c r="CH83" s="196">
        <f t="shared" si="154"/>
        <v>0</v>
      </c>
      <c r="CI83" s="196">
        <f t="shared" si="154"/>
        <v>0</v>
      </c>
      <c r="CJ83" s="196">
        <f t="shared" si="154"/>
        <v>0</v>
      </c>
      <c r="CK83" s="196">
        <f t="shared" si="154"/>
        <v>0</v>
      </c>
      <c r="CL83" s="196">
        <f t="shared" si="154"/>
        <v>0</v>
      </c>
      <c r="CM83" s="196">
        <f t="shared" si="154"/>
        <v>0</v>
      </c>
      <c r="CN83" s="196">
        <f t="shared" si="154"/>
        <v>0</v>
      </c>
      <c r="CO83" s="196">
        <f t="shared" si="154"/>
        <v>0</v>
      </c>
      <c r="CP83" s="196">
        <f t="shared" si="154"/>
        <v>0</v>
      </c>
      <c r="CQ83" s="196">
        <f t="shared" si="154"/>
        <v>0</v>
      </c>
    </row>
    <row r="84" spans="1:95" ht="15" thickBot="1" x14ac:dyDescent="0.4">
      <c r="A84" s="29" t="s">
        <v>29</v>
      </c>
      <c r="B84" s="30"/>
      <c r="C84" s="223"/>
      <c r="D84" s="139">
        <f t="shared" ref="D84:AD84" si="155">+D45+D47+D51+D53+D55+D60+D58+D62+D66+D68+D70+D74+D76+D49+D72+D77+D82</f>
        <v>20.39</v>
      </c>
      <c r="E84" s="140">
        <f t="shared" si="155"/>
        <v>20.41</v>
      </c>
      <c r="F84" s="141">
        <f t="shared" si="155"/>
        <v>20.43</v>
      </c>
      <c r="G84" s="141">
        <f t="shared" si="155"/>
        <v>19.739999999999998</v>
      </c>
      <c r="H84" s="141">
        <f t="shared" si="155"/>
        <v>17.959999999999997</v>
      </c>
      <c r="I84" s="141">
        <f t="shared" si="155"/>
        <v>17.47</v>
      </c>
      <c r="J84" s="141">
        <f t="shared" si="155"/>
        <v>16.809999999999999</v>
      </c>
      <c r="K84" s="141">
        <f t="shared" si="155"/>
        <v>16.829999999999998</v>
      </c>
      <c r="L84" s="141">
        <f t="shared" si="155"/>
        <v>17.649999999999999</v>
      </c>
      <c r="M84" s="141">
        <f t="shared" si="155"/>
        <v>17.66</v>
      </c>
      <c r="N84" s="141">
        <f t="shared" si="155"/>
        <v>17.68</v>
      </c>
      <c r="O84" s="141">
        <f t="shared" si="155"/>
        <v>17.7</v>
      </c>
      <c r="P84" s="141">
        <f t="shared" si="155"/>
        <v>17.71</v>
      </c>
      <c r="Q84" s="141">
        <f t="shared" si="155"/>
        <v>15.419999999999998</v>
      </c>
      <c r="R84" s="141">
        <f t="shared" si="155"/>
        <v>18</v>
      </c>
      <c r="S84" s="141">
        <f t="shared" si="155"/>
        <v>18.009999999999998</v>
      </c>
      <c r="T84" s="141">
        <f t="shared" si="155"/>
        <v>18.029999999999998</v>
      </c>
      <c r="U84" s="141">
        <f t="shared" si="155"/>
        <v>18.05</v>
      </c>
      <c r="V84" s="141">
        <f t="shared" si="155"/>
        <v>18.059999999999999</v>
      </c>
      <c r="W84" s="141">
        <f t="shared" si="155"/>
        <v>17.779999999999998</v>
      </c>
      <c r="X84" s="141">
        <f t="shared" si="155"/>
        <v>17.799999999999997</v>
      </c>
      <c r="Y84" s="141">
        <f t="shared" si="155"/>
        <v>17.809999999999999</v>
      </c>
      <c r="Z84" s="141">
        <f t="shared" si="155"/>
        <v>18.13</v>
      </c>
      <c r="AA84" s="141">
        <f t="shared" si="155"/>
        <v>18.149999999999999</v>
      </c>
      <c r="AB84" s="141">
        <f t="shared" si="155"/>
        <v>18.16</v>
      </c>
      <c r="AC84" s="141">
        <f t="shared" si="155"/>
        <v>18.18</v>
      </c>
      <c r="AD84" s="141">
        <f t="shared" si="155"/>
        <v>18.2</v>
      </c>
      <c r="AE84" s="141">
        <f>+AE48+AE50+AE54+AE56+AE58+AE62+AE60+AE64+AE66+AE68+AE70+AE74+AE76+AE52+AE72+AE77+AE82</f>
        <v>-2.79</v>
      </c>
      <c r="AF84" s="141">
        <f t="shared" ref="AF84:BI84" si="156">+AF45+AF47+AF51+AF53+AF57+AF61+AF59+AF63+AF66+AF68+AF70+AF74+AF76+AF49+AF72+AF77+AF82</f>
        <v>60.730000000000004</v>
      </c>
      <c r="AG84" s="141">
        <f t="shared" si="156"/>
        <v>60.75</v>
      </c>
      <c r="AH84" s="138">
        <f t="shared" si="156"/>
        <v>60.77</v>
      </c>
      <c r="AI84" s="139">
        <f t="shared" si="156"/>
        <v>60.78</v>
      </c>
      <c r="AJ84" s="140">
        <f>+AJ48+AJ50+AJ54+AJ56+AJ58+AJ62+AJ60+AJ64+AX66+AJ68+AJ70+AJ74+AJ76+AJ52+AJ72+AJ77+AJ82</f>
        <v>-12.700000000000001</v>
      </c>
      <c r="AK84" s="141">
        <f>+AK48+AK50+AK54+AK56+AK58+AK62+AK60+AK64+AY66+AK68+AK70+AK74+AK76+AK52+AK72+AK77+AK82</f>
        <v>-12.680000000000001</v>
      </c>
      <c r="AL84" s="141">
        <f>+AL48+AL50+AL54+AL56+AL58+AL62+AL60+AL64+AZ66+AL68+AL70+AL74+AL76+AL52+AL72+AL77+AL82</f>
        <v>-12.67</v>
      </c>
      <c r="AM84" s="141">
        <f>+AM48+AM50+AM54+AM56+AM58+AM62+AM60+AM64+BA66+AM68+AM70+AM74+AM76+AM52+AM72+AM77+AM82</f>
        <v>-13.290000000000001</v>
      </c>
      <c r="AN84" s="141">
        <f t="shared" si="156"/>
        <v>60.85</v>
      </c>
      <c r="AO84" s="141">
        <f t="shared" si="156"/>
        <v>60.88</v>
      </c>
      <c r="AP84" s="141">
        <f t="shared" si="156"/>
        <v>60.900000000000006</v>
      </c>
      <c r="AQ84" s="141">
        <f t="shared" si="156"/>
        <v>58.92</v>
      </c>
      <c r="AR84" s="141">
        <f t="shared" si="156"/>
        <v>60.92</v>
      </c>
      <c r="AS84" s="141">
        <f t="shared" si="156"/>
        <v>61.120000000000005</v>
      </c>
      <c r="AT84" s="141">
        <f t="shared" si="156"/>
        <v>61.39</v>
      </c>
      <c r="AU84" s="141">
        <f t="shared" si="156"/>
        <v>61.400000000000006</v>
      </c>
      <c r="AV84" s="141">
        <f t="shared" si="156"/>
        <v>61.42</v>
      </c>
      <c r="AW84" s="141">
        <f t="shared" si="156"/>
        <v>61.440000000000005</v>
      </c>
      <c r="AX84" s="141">
        <f t="shared" si="156"/>
        <v>51.45</v>
      </c>
      <c r="AY84" s="141">
        <f t="shared" si="156"/>
        <v>51.47</v>
      </c>
      <c r="AZ84" s="141">
        <f t="shared" si="156"/>
        <v>51.5</v>
      </c>
      <c r="BA84" s="141">
        <f t="shared" si="156"/>
        <v>51.52</v>
      </c>
      <c r="BB84" s="141">
        <f t="shared" si="156"/>
        <v>61.540000000000006</v>
      </c>
      <c r="BC84" s="141">
        <f t="shared" si="156"/>
        <v>61.550000000000004</v>
      </c>
      <c r="BD84" s="141">
        <f t="shared" si="156"/>
        <v>61.550000000000004</v>
      </c>
      <c r="BE84" s="141">
        <f t="shared" si="156"/>
        <v>61.57</v>
      </c>
      <c r="BF84" s="141">
        <f t="shared" si="156"/>
        <v>53.57</v>
      </c>
      <c r="BG84" s="141">
        <f t="shared" si="156"/>
        <v>53.57</v>
      </c>
      <c r="BH84" s="141">
        <f t="shared" si="156"/>
        <v>53.57</v>
      </c>
      <c r="BI84" s="141">
        <f t="shared" si="156"/>
        <v>61.57</v>
      </c>
      <c r="BJ84" s="141">
        <f>+BJ48+BJ50+BJ54+BJ56+BJ58+BJ62+BJ60+BJ64+BJ66+BJ68+BJ70+BJ74+BJ76+BJ52+BJ72+BJ77+BJ82</f>
        <v>-1.9300000000000002</v>
      </c>
      <c r="BK84" s="141">
        <f t="shared" ref="BK84:CM84" si="157">+BK45+BK47+BK51+BK53+BK55+BK60+BK58+BK62+BK66+BK68+BK70+BK74+BK76+BK49+BK72+BK77+BK82</f>
        <v>19.07</v>
      </c>
      <c r="BL84" s="183">
        <f t="shared" si="157"/>
        <v>19.07</v>
      </c>
      <c r="BM84" s="139">
        <f t="shared" si="157"/>
        <v>19.2</v>
      </c>
      <c r="BN84" s="140">
        <f t="shared" si="157"/>
        <v>19.2</v>
      </c>
      <c r="BO84" s="141">
        <f t="shared" si="157"/>
        <v>19.2</v>
      </c>
      <c r="BP84" s="141">
        <f t="shared" si="157"/>
        <v>19.2</v>
      </c>
      <c r="BQ84" s="141">
        <f t="shared" si="157"/>
        <v>21</v>
      </c>
      <c r="BR84" s="141">
        <f t="shared" si="157"/>
        <v>21</v>
      </c>
      <c r="BS84" s="141">
        <f t="shared" si="157"/>
        <v>21</v>
      </c>
      <c r="BT84" s="141">
        <f t="shared" si="157"/>
        <v>19</v>
      </c>
      <c r="BU84" s="141">
        <f t="shared" si="157"/>
        <v>21</v>
      </c>
      <c r="BV84" s="141">
        <f t="shared" si="157"/>
        <v>21</v>
      </c>
      <c r="BW84" s="141">
        <f t="shared" si="157"/>
        <v>21</v>
      </c>
      <c r="BX84" s="141">
        <f t="shared" si="157"/>
        <v>21</v>
      </c>
      <c r="BY84" s="141">
        <f t="shared" si="157"/>
        <v>21</v>
      </c>
      <c r="BZ84" s="141">
        <f t="shared" si="157"/>
        <v>21</v>
      </c>
      <c r="CA84" s="141">
        <f t="shared" si="157"/>
        <v>21</v>
      </c>
      <c r="CB84" s="141">
        <f t="shared" si="157"/>
        <v>21</v>
      </c>
      <c r="CC84" s="141">
        <f t="shared" si="157"/>
        <v>21</v>
      </c>
      <c r="CD84" s="141">
        <f t="shared" si="157"/>
        <v>21</v>
      </c>
      <c r="CE84" s="141">
        <f t="shared" si="157"/>
        <v>21</v>
      </c>
      <c r="CF84" s="141">
        <f t="shared" si="157"/>
        <v>21</v>
      </c>
      <c r="CG84" s="141">
        <f t="shared" si="157"/>
        <v>21</v>
      </c>
      <c r="CH84" s="141">
        <f t="shared" si="157"/>
        <v>21</v>
      </c>
      <c r="CI84" s="141">
        <f t="shared" si="157"/>
        <v>21</v>
      </c>
      <c r="CJ84" s="141">
        <f t="shared" si="157"/>
        <v>21</v>
      </c>
      <c r="CK84" s="141">
        <f t="shared" si="157"/>
        <v>21</v>
      </c>
      <c r="CL84" s="141">
        <f t="shared" si="157"/>
        <v>21</v>
      </c>
      <c r="CM84" s="141">
        <f t="shared" si="157"/>
        <v>21</v>
      </c>
      <c r="CN84" s="141">
        <f>+CN48+CN50+CN54+CN56+CN58+CN62+CN60+CN64+CN66+CN68+CN70+CN74+CN76+CN52+CN72+CN77+CN82</f>
        <v>0</v>
      </c>
      <c r="CO84" s="141">
        <f t="shared" ref="CO84:CQ84" si="158">+CO45+CO47+CO51+CO53+CO55+CO60+CO58+CO62+CO66+CO68+CO70+CO74+CO76+CO49+CO72+CO77+CO82</f>
        <v>21</v>
      </c>
      <c r="CP84" s="141">
        <f t="shared" si="158"/>
        <v>21</v>
      </c>
      <c r="CQ84" s="138">
        <f t="shared" si="158"/>
        <v>21</v>
      </c>
    </row>
    <row r="85" spans="1:95" x14ac:dyDescent="0.35">
      <c r="A85" s="31" t="s">
        <v>54</v>
      </c>
      <c r="B85" s="32"/>
      <c r="C85" s="223"/>
      <c r="D85" s="168">
        <f t="shared" ref="D85:S85" si="159">+D45+D47+D51+D53+D55+D58+D60+D62+D66+D68+D70+D74+D76</f>
        <v>20.39</v>
      </c>
      <c r="E85" s="146">
        <f t="shared" si="159"/>
        <v>20.41</v>
      </c>
      <c r="F85" s="145">
        <f t="shared" si="159"/>
        <v>20.43</v>
      </c>
      <c r="G85" s="145">
        <f t="shared" si="159"/>
        <v>19.739999999999998</v>
      </c>
      <c r="H85" s="145">
        <f t="shared" si="159"/>
        <v>17.959999999999997</v>
      </c>
      <c r="I85" s="145">
        <f t="shared" si="159"/>
        <v>17.47</v>
      </c>
      <c r="J85" s="145">
        <f t="shared" si="159"/>
        <v>16.809999999999999</v>
      </c>
      <c r="K85" s="145">
        <f t="shared" si="159"/>
        <v>16.829999999999998</v>
      </c>
      <c r="L85" s="145">
        <f t="shared" si="159"/>
        <v>17.649999999999999</v>
      </c>
      <c r="M85" s="145">
        <f t="shared" si="159"/>
        <v>17.66</v>
      </c>
      <c r="N85" s="145">
        <f t="shared" si="159"/>
        <v>17.68</v>
      </c>
      <c r="O85" s="145">
        <f t="shared" si="159"/>
        <v>17.7</v>
      </c>
      <c r="P85" s="145">
        <f t="shared" si="159"/>
        <v>17.71</v>
      </c>
      <c r="Q85" s="145">
        <f t="shared" si="159"/>
        <v>15.419999999999998</v>
      </c>
      <c r="R85" s="145">
        <f t="shared" si="159"/>
        <v>18</v>
      </c>
      <c r="S85" s="145">
        <f t="shared" si="159"/>
        <v>18.009999999999998</v>
      </c>
      <c r="T85" s="145">
        <f t="shared" ref="T85:BF85" si="160">+T45+T47+T51+T53+T57+T59+T61+T63+T66+T68+T70+T74+T76</f>
        <v>60.53</v>
      </c>
      <c r="U85" s="145">
        <f t="shared" si="160"/>
        <v>60.550000000000004</v>
      </c>
      <c r="V85" s="145">
        <f t="shared" si="160"/>
        <v>60.56</v>
      </c>
      <c r="W85" s="145">
        <f t="shared" si="160"/>
        <v>60.28</v>
      </c>
      <c r="X85" s="145">
        <f t="shared" si="160"/>
        <v>60.300000000000004</v>
      </c>
      <c r="Y85" s="145">
        <f t="shared" si="160"/>
        <v>60.31</v>
      </c>
      <c r="Z85" s="145">
        <f t="shared" si="160"/>
        <v>60.63</v>
      </c>
      <c r="AA85" s="145">
        <f t="shared" si="160"/>
        <v>60.650000000000006</v>
      </c>
      <c r="AB85" s="145">
        <f t="shared" si="160"/>
        <v>60.660000000000004</v>
      </c>
      <c r="AC85" s="145">
        <f t="shared" si="160"/>
        <v>60.680000000000007</v>
      </c>
      <c r="AD85" s="145">
        <f t="shared" si="160"/>
        <v>60.7</v>
      </c>
      <c r="AE85" s="145">
        <f t="shared" si="160"/>
        <v>58.71</v>
      </c>
      <c r="AF85" s="145">
        <f t="shared" si="160"/>
        <v>60.730000000000004</v>
      </c>
      <c r="AG85" s="145">
        <f t="shared" si="160"/>
        <v>60.75</v>
      </c>
      <c r="AH85" s="147">
        <f t="shared" si="160"/>
        <v>60.77</v>
      </c>
      <c r="AI85" s="168">
        <f t="shared" si="160"/>
        <v>60.78</v>
      </c>
      <c r="AJ85" s="146">
        <f>+AJ48+AJ50+AJ54+AJ56+AJ58+AJ60+AJ62+AJ64+AX66+AJ68+AJ70+AJ74+AJ76</f>
        <v>-12.700000000000001</v>
      </c>
      <c r="AK85" s="145">
        <f>+AK48+AK50+AK54+AK56+AK58+AK60+AK62+AK64+AY66+AK68+AK70+AK74+AK76</f>
        <v>-12.680000000000001</v>
      </c>
      <c r="AL85" s="145">
        <f>+AL48+AL50+AL54+AL56+AL58+AL60+AL62+AL64+AZ66+AL68+AL70+AL74+AL76</f>
        <v>-12.67</v>
      </c>
      <c r="AM85" s="145">
        <f>+AM48+AM50+AM54+AM56+AM58+AM60+AM62+AM64+BA66+AM68+AM70+AM74+AM76</f>
        <v>-13.290000000000001</v>
      </c>
      <c r="AN85" s="145">
        <f t="shared" si="160"/>
        <v>60.85</v>
      </c>
      <c r="AO85" s="145">
        <f t="shared" si="160"/>
        <v>60.88</v>
      </c>
      <c r="AP85" s="145">
        <f t="shared" si="160"/>
        <v>60.900000000000006</v>
      </c>
      <c r="AQ85" s="145">
        <f t="shared" si="160"/>
        <v>58.92</v>
      </c>
      <c r="AR85" s="145">
        <f t="shared" si="160"/>
        <v>60.92</v>
      </c>
      <c r="AS85" s="145">
        <f t="shared" si="160"/>
        <v>61.120000000000005</v>
      </c>
      <c r="AT85" s="145">
        <f t="shared" si="160"/>
        <v>61.39</v>
      </c>
      <c r="AU85" s="145">
        <f t="shared" si="160"/>
        <v>61.400000000000006</v>
      </c>
      <c r="AV85" s="145">
        <f t="shared" si="160"/>
        <v>61.42</v>
      </c>
      <c r="AW85" s="145">
        <f t="shared" si="160"/>
        <v>61.440000000000005</v>
      </c>
      <c r="AX85" s="145">
        <f t="shared" si="160"/>
        <v>51.45</v>
      </c>
      <c r="AY85" s="145">
        <f t="shared" si="160"/>
        <v>51.47</v>
      </c>
      <c r="AZ85" s="145">
        <f t="shared" si="160"/>
        <v>51.5</v>
      </c>
      <c r="BA85" s="145">
        <f t="shared" si="160"/>
        <v>51.52</v>
      </c>
      <c r="BB85" s="145">
        <f t="shared" si="160"/>
        <v>61.540000000000006</v>
      </c>
      <c r="BC85" s="145">
        <f t="shared" si="160"/>
        <v>61.550000000000004</v>
      </c>
      <c r="BD85" s="145">
        <f t="shared" si="160"/>
        <v>61.550000000000004</v>
      </c>
      <c r="BE85" s="145">
        <f t="shared" si="160"/>
        <v>61.57</v>
      </c>
      <c r="BF85" s="145">
        <f t="shared" si="160"/>
        <v>53.57</v>
      </c>
      <c r="BG85" s="145">
        <f t="shared" ref="BG85:CQ85" si="161">+BG45+BG47+BG51+BG53+BG55+BG58+BG60+BG62+BG66+BG68+BG70+BG74+BG76</f>
        <v>11.069999999999999</v>
      </c>
      <c r="BH85" s="145">
        <f t="shared" si="161"/>
        <v>11.069999999999999</v>
      </c>
      <c r="BI85" s="145">
        <f t="shared" si="161"/>
        <v>19.07</v>
      </c>
      <c r="BJ85" s="145">
        <f t="shared" si="161"/>
        <v>19.07</v>
      </c>
      <c r="BK85" s="145">
        <f t="shared" si="161"/>
        <v>19.07</v>
      </c>
      <c r="BL85" s="184">
        <f t="shared" si="161"/>
        <v>19.07</v>
      </c>
      <c r="BM85" s="168">
        <f t="shared" si="161"/>
        <v>19.2</v>
      </c>
      <c r="BN85" s="146">
        <f t="shared" si="161"/>
        <v>19.2</v>
      </c>
      <c r="BO85" s="145">
        <f t="shared" si="161"/>
        <v>19.2</v>
      </c>
      <c r="BP85" s="145">
        <f t="shared" si="161"/>
        <v>19.2</v>
      </c>
      <c r="BQ85" s="145">
        <f t="shared" si="161"/>
        <v>21</v>
      </c>
      <c r="BR85" s="145">
        <f t="shared" si="161"/>
        <v>21</v>
      </c>
      <c r="BS85" s="145">
        <f t="shared" si="161"/>
        <v>21</v>
      </c>
      <c r="BT85" s="145">
        <f t="shared" si="161"/>
        <v>19</v>
      </c>
      <c r="BU85" s="145">
        <f t="shared" si="161"/>
        <v>21</v>
      </c>
      <c r="BV85" s="145">
        <f t="shared" si="161"/>
        <v>21</v>
      </c>
      <c r="BW85" s="145">
        <f t="shared" si="161"/>
        <v>21</v>
      </c>
      <c r="BX85" s="145">
        <f t="shared" si="161"/>
        <v>21</v>
      </c>
      <c r="BY85" s="145">
        <f t="shared" si="161"/>
        <v>21</v>
      </c>
      <c r="BZ85" s="145">
        <f t="shared" si="161"/>
        <v>21</v>
      </c>
      <c r="CA85" s="145">
        <f t="shared" si="161"/>
        <v>21</v>
      </c>
      <c r="CB85" s="145">
        <f t="shared" si="161"/>
        <v>21</v>
      </c>
      <c r="CC85" s="145">
        <f t="shared" si="161"/>
        <v>21</v>
      </c>
      <c r="CD85" s="145">
        <f t="shared" si="161"/>
        <v>21</v>
      </c>
      <c r="CE85" s="145">
        <f t="shared" si="161"/>
        <v>21</v>
      </c>
      <c r="CF85" s="145">
        <f t="shared" si="161"/>
        <v>21</v>
      </c>
      <c r="CG85" s="145">
        <f t="shared" si="161"/>
        <v>21</v>
      </c>
      <c r="CH85" s="145">
        <f t="shared" si="161"/>
        <v>21</v>
      </c>
      <c r="CI85" s="145">
        <f t="shared" si="161"/>
        <v>21</v>
      </c>
      <c r="CJ85" s="145">
        <f t="shared" si="161"/>
        <v>21</v>
      </c>
      <c r="CK85" s="145">
        <f t="shared" si="161"/>
        <v>21</v>
      </c>
      <c r="CL85" s="145">
        <f t="shared" si="161"/>
        <v>21</v>
      </c>
      <c r="CM85" s="145">
        <f t="shared" si="161"/>
        <v>21</v>
      </c>
      <c r="CN85" s="145">
        <f t="shared" si="161"/>
        <v>21</v>
      </c>
      <c r="CO85" s="145">
        <f t="shared" si="161"/>
        <v>21</v>
      </c>
      <c r="CP85" s="145">
        <f t="shared" si="161"/>
        <v>21</v>
      </c>
      <c r="CQ85" s="147">
        <f t="shared" si="161"/>
        <v>21</v>
      </c>
    </row>
    <row r="86" spans="1:95" ht="15" thickBot="1" x14ac:dyDescent="0.4">
      <c r="A86" s="33" t="s">
        <v>30</v>
      </c>
      <c r="B86" s="34"/>
      <c r="C86" s="224"/>
      <c r="D86" s="169">
        <f t="shared" ref="D86:S86" si="162">IF(D83&lt;D84,D83,D84)</f>
        <v>0</v>
      </c>
      <c r="E86" s="148">
        <f t="shared" si="162"/>
        <v>0</v>
      </c>
      <c r="F86" s="148">
        <f t="shared" si="162"/>
        <v>0</v>
      </c>
      <c r="G86" s="148">
        <f t="shared" si="162"/>
        <v>0</v>
      </c>
      <c r="H86" s="148">
        <f t="shared" si="162"/>
        <v>0</v>
      </c>
      <c r="I86" s="148">
        <f t="shared" si="162"/>
        <v>0</v>
      </c>
      <c r="J86" s="148">
        <f t="shared" si="162"/>
        <v>0</v>
      </c>
      <c r="K86" s="148">
        <f t="shared" si="162"/>
        <v>0</v>
      </c>
      <c r="L86" s="148">
        <f t="shared" si="162"/>
        <v>0</v>
      </c>
      <c r="M86" s="148">
        <f t="shared" si="162"/>
        <v>0</v>
      </c>
      <c r="N86" s="148">
        <f t="shared" si="162"/>
        <v>0</v>
      </c>
      <c r="O86" s="148">
        <f t="shared" si="162"/>
        <v>-1.7</v>
      </c>
      <c r="P86" s="148">
        <f t="shared" si="162"/>
        <v>-6.7</v>
      </c>
      <c r="Q86" s="148">
        <f t="shared" si="162"/>
        <v>-8.6999999999999993</v>
      </c>
      <c r="R86" s="148">
        <f t="shared" si="162"/>
        <v>-6.7</v>
      </c>
      <c r="S86" s="148">
        <f t="shared" si="162"/>
        <v>-9.6999999999999993</v>
      </c>
      <c r="T86" s="148">
        <f t="shared" ref="T86:AX86" si="163">IF(T83&lt;T84,T83,T84)</f>
        <v>-4.7</v>
      </c>
      <c r="U86" s="148">
        <f t="shared" si="163"/>
        <v>-4.7</v>
      </c>
      <c r="V86" s="148">
        <f t="shared" si="163"/>
        <v>-6.7</v>
      </c>
      <c r="W86" s="148">
        <f t="shared" si="163"/>
        <v>-4.7</v>
      </c>
      <c r="X86" s="148">
        <f t="shared" si="163"/>
        <v>0</v>
      </c>
      <c r="Y86" s="148">
        <f t="shared" si="163"/>
        <v>0</v>
      </c>
      <c r="Z86" s="148">
        <f t="shared" si="163"/>
        <v>0</v>
      </c>
      <c r="AA86" s="148">
        <f t="shared" si="163"/>
        <v>0</v>
      </c>
      <c r="AB86" s="148">
        <f t="shared" si="163"/>
        <v>0</v>
      </c>
      <c r="AC86" s="148">
        <f t="shared" si="163"/>
        <v>-2</v>
      </c>
      <c r="AD86" s="148">
        <f t="shared" si="163"/>
        <v>-2</v>
      </c>
      <c r="AE86" s="148">
        <f t="shared" si="163"/>
        <v>-2.79</v>
      </c>
      <c r="AF86" s="148">
        <f t="shared" si="163"/>
        <v>-2</v>
      </c>
      <c r="AG86" s="148">
        <f t="shared" si="163"/>
        <v>-2</v>
      </c>
      <c r="AH86" s="149">
        <f t="shared" si="163"/>
        <v>-2</v>
      </c>
      <c r="AI86" s="169">
        <f t="shared" si="163"/>
        <v>0</v>
      </c>
      <c r="AJ86" s="148">
        <f t="shared" si="163"/>
        <v>-12.700000000000001</v>
      </c>
      <c r="AK86" s="148">
        <f t="shared" si="163"/>
        <v>-12.680000000000001</v>
      </c>
      <c r="AL86" s="148">
        <f t="shared" si="163"/>
        <v>-13.2</v>
      </c>
      <c r="AM86" s="148">
        <f t="shared" si="163"/>
        <v>-13.290000000000001</v>
      </c>
      <c r="AN86" s="148">
        <f t="shared" si="163"/>
        <v>-9.6999999999999993</v>
      </c>
      <c r="AO86" s="148">
        <f t="shared" si="163"/>
        <v>-12.7</v>
      </c>
      <c r="AP86" s="148">
        <f t="shared" si="163"/>
        <v>-12.7</v>
      </c>
      <c r="AQ86" s="148">
        <f t="shared" si="163"/>
        <v>-12.7</v>
      </c>
      <c r="AR86" s="148">
        <f t="shared" si="163"/>
        <v>-10.7</v>
      </c>
      <c r="AS86" s="148">
        <f t="shared" si="163"/>
        <v>-6.7</v>
      </c>
      <c r="AT86" s="148">
        <f t="shared" si="163"/>
        <v>-16.2</v>
      </c>
      <c r="AU86" s="148">
        <f t="shared" si="163"/>
        <v>-10.5</v>
      </c>
      <c r="AV86" s="148">
        <f t="shared" si="163"/>
        <v>-1</v>
      </c>
      <c r="AW86" s="148">
        <f t="shared" si="163"/>
        <v>-1</v>
      </c>
      <c r="AX86" s="148">
        <f t="shared" si="163"/>
        <v>-10.7</v>
      </c>
      <c r="AY86" s="148">
        <f t="shared" ref="AY86:CQ86" si="164">IF(AY83&lt;AY84,AY83,AY84)</f>
        <v>-14.7</v>
      </c>
      <c r="AZ86" s="148">
        <f t="shared" si="164"/>
        <v>-8.6999999999999993</v>
      </c>
      <c r="BA86" s="148">
        <f t="shared" si="164"/>
        <v>-11.7</v>
      </c>
      <c r="BB86" s="148">
        <f t="shared" si="164"/>
        <v>-11.7</v>
      </c>
      <c r="BC86" s="148">
        <f t="shared" si="164"/>
        <v>0</v>
      </c>
      <c r="BD86" s="148">
        <f t="shared" si="164"/>
        <v>0</v>
      </c>
      <c r="BE86" s="148">
        <f t="shared" si="164"/>
        <v>-3.8</v>
      </c>
      <c r="BF86" s="148">
        <f t="shared" si="164"/>
        <v>-14.5</v>
      </c>
      <c r="BG86" s="148">
        <f t="shared" si="164"/>
        <v>0</v>
      </c>
      <c r="BH86" s="148">
        <f t="shared" si="164"/>
        <v>0</v>
      </c>
      <c r="BI86" s="148">
        <f t="shared" si="164"/>
        <v>0</v>
      </c>
      <c r="BJ86" s="148">
        <f t="shared" si="164"/>
        <v>-1.9300000000000002</v>
      </c>
      <c r="BK86" s="148">
        <f t="shared" si="164"/>
        <v>0</v>
      </c>
      <c r="BL86" s="185">
        <f t="shared" si="164"/>
        <v>-4</v>
      </c>
      <c r="BM86" s="169">
        <f t="shared" si="164"/>
        <v>-14.7</v>
      </c>
      <c r="BN86" s="148">
        <f t="shared" si="164"/>
        <v>-4</v>
      </c>
      <c r="BO86" s="148">
        <f t="shared" si="164"/>
        <v>0</v>
      </c>
      <c r="BP86" s="148">
        <f t="shared" si="164"/>
        <v>0</v>
      </c>
      <c r="BQ86" s="148">
        <f t="shared" si="164"/>
        <v>0</v>
      </c>
      <c r="BR86" s="148">
        <f t="shared" si="164"/>
        <v>0</v>
      </c>
      <c r="BS86" s="148">
        <f t="shared" si="164"/>
        <v>0</v>
      </c>
      <c r="BT86" s="148">
        <f t="shared" si="164"/>
        <v>-10.7</v>
      </c>
      <c r="BU86" s="148">
        <f t="shared" si="164"/>
        <v>0</v>
      </c>
      <c r="BV86" s="148">
        <f t="shared" si="164"/>
        <v>0</v>
      </c>
      <c r="BW86" s="148">
        <f t="shared" si="164"/>
        <v>0</v>
      </c>
      <c r="BX86" s="148">
        <f t="shared" si="164"/>
        <v>0</v>
      </c>
      <c r="BY86" s="148">
        <f t="shared" si="164"/>
        <v>0</v>
      </c>
      <c r="BZ86" s="148">
        <f t="shared" si="164"/>
        <v>-7.7</v>
      </c>
      <c r="CA86" s="148">
        <f t="shared" si="164"/>
        <v>0</v>
      </c>
      <c r="CB86" s="148">
        <f t="shared" si="164"/>
        <v>-7.7</v>
      </c>
      <c r="CC86" s="148">
        <f t="shared" si="164"/>
        <v>0</v>
      </c>
      <c r="CD86" s="148">
        <f t="shared" si="164"/>
        <v>0</v>
      </c>
      <c r="CE86" s="148">
        <f t="shared" si="164"/>
        <v>0</v>
      </c>
      <c r="CF86" s="148">
        <f t="shared" si="164"/>
        <v>0</v>
      </c>
      <c r="CG86" s="148">
        <f t="shared" si="164"/>
        <v>0</v>
      </c>
      <c r="CH86" s="148">
        <f t="shared" si="164"/>
        <v>0</v>
      </c>
      <c r="CI86" s="148">
        <f t="shared" si="164"/>
        <v>0</v>
      </c>
      <c r="CJ86" s="148">
        <f t="shared" si="164"/>
        <v>0</v>
      </c>
      <c r="CK86" s="148">
        <f t="shared" si="164"/>
        <v>0</v>
      </c>
      <c r="CL86" s="148">
        <f t="shared" si="164"/>
        <v>0</v>
      </c>
      <c r="CM86" s="148">
        <f t="shared" si="164"/>
        <v>0</v>
      </c>
      <c r="CN86" s="148">
        <f t="shared" si="164"/>
        <v>0</v>
      </c>
      <c r="CO86" s="148">
        <f t="shared" si="164"/>
        <v>0</v>
      </c>
      <c r="CP86" s="148">
        <f t="shared" si="164"/>
        <v>0</v>
      </c>
      <c r="CQ86" s="149">
        <f t="shared" si="164"/>
        <v>0</v>
      </c>
    </row>
    <row r="87" spans="1:95" ht="15" thickBot="1" x14ac:dyDescent="0.4">
      <c r="BD87" t="s">
        <v>0</v>
      </c>
    </row>
    <row r="88" spans="1:95" ht="25.5" thickBot="1" x14ac:dyDescent="0.55000000000000004">
      <c r="A88" s="2"/>
      <c r="B88" s="1"/>
      <c r="C88" s="1"/>
      <c r="D88" s="202">
        <v>46296</v>
      </c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4"/>
      <c r="AI88" s="199">
        <v>46327</v>
      </c>
      <c r="AJ88" s="200"/>
      <c r="AK88" s="200"/>
      <c r="AL88" s="200"/>
      <c r="AM88" s="200"/>
      <c r="AN88" s="200"/>
      <c r="AO88" s="200"/>
      <c r="AP88" s="200"/>
      <c r="AQ88" s="200"/>
      <c r="AR88" s="200"/>
      <c r="AS88" s="200"/>
      <c r="AT88" s="200"/>
      <c r="AU88" s="200"/>
      <c r="AV88" s="200"/>
      <c r="AW88" s="200"/>
      <c r="AX88" s="200"/>
      <c r="AY88" s="200"/>
      <c r="AZ88" s="200"/>
      <c r="BA88" s="200"/>
      <c r="BB88" s="200"/>
      <c r="BC88" s="200"/>
      <c r="BD88" s="200"/>
      <c r="BE88" s="200"/>
      <c r="BF88" s="200"/>
      <c r="BG88" s="200"/>
      <c r="BH88" s="200"/>
      <c r="BI88" s="200"/>
      <c r="BJ88" s="200"/>
      <c r="BK88" s="200"/>
      <c r="BL88" s="201"/>
      <c r="BM88" s="202">
        <v>46357</v>
      </c>
      <c r="BN88" s="203"/>
      <c r="BO88" s="203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  <c r="CC88" s="203"/>
      <c r="CD88" s="203"/>
      <c r="CE88" s="203"/>
      <c r="CF88" s="203"/>
      <c r="CG88" s="203"/>
      <c r="CH88" s="203"/>
      <c r="CI88" s="203"/>
      <c r="CJ88" s="203"/>
      <c r="CK88" s="203"/>
      <c r="CL88" s="203"/>
      <c r="CM88" s="203"/>
      <c r="CN88" s="203"/>
      <c r="CO88" s="203"/>
      <c r="CP88" s="203"/>
      <c r="CQ88" s="203"/>
    </row>
    <row r="89" spans="1:95" ht="15" thickBot="1" x14ac:dyDescent="0.4">
      <c r="A89" s="3" t="s">
        <v>1</v>
      </c>
      <c r="B89" s="3"/>
      <c r="C89" s="3" t="s">
        <v>2</v>
      </c>
      <c r="D89" s="175">
        <v>1</v>
      </c>
      <c r="E89" s="176">
        <v>2</v>
      </c>
      <c r="F89" s="177">
        <v>3</v>
      </c>
      <c r="G89" s="177">
        <v>4</v>
      </c>
      <c r="H89" s="176">
        <v>5</v>
      </c>
      <c r="I89" s="176">
        <v>6</v>
      </c>
      <c r="J89" s="176">
        <v>7</v>
      </c>
      <c r="K89" s="176">
        <v>8</v>
      </c>
      <c r="L89" s="176">
        <v>9</v>
      </c>
      <c r="M89" s="177">
        <v>10</v>
      </c>
      <c r="N89" s="177">
        <v>11</v>
      </c>
      <c r="O89" s="177">
        <v>12</v>
      </c>
      <c r="P89" s="176">
        <v>13</v>
      </c>
      <c r="Q89" s="176">
        <v>14</v>
      </c>
      <c r="R89" s="176">
        <v>15</v>
      </c>
      <c r="S89" s="176">
        <v>16</v>
      </c>
      <c r="T89" s="177">
        <v>17</v>
      </c>
      <c r="U89" s="177">
        <v>18</v>
      </c>
      <c r="V89" s="176">
        <v>19</v>
      </c>
      <c r="W89" s="176">
        <v>20</v>
      </c>
      <c r="X89" s="176">
        <v>21</v>
      </c>
      <c r="Y89" s="176">
        <v>22</v>
      </c>
      <c r="Z89" s="176">
        <v>23</v>
      </c>
      <c r="AA89" s="177">
        <v>24</v>
      </c>
      <c r="AB89" s="177">
        <v>25</v>
      </c>
      <c r="AC89" s="176">
        <v>26</v>
      </c>
      <c r="AD89" s="176">
        <v>27</v>
      </c>
      <c r="AE89" s="176">
        <v>28</v>
      </c>
      <c r="AF89" s="176">
        <v>29</v>
      </c>
      <c r="AG89" s="176">
        <v>30</v>
      </c>
      <c r="AH89" s="178">
        <v>31</v>
      </c>
      <c r="AI89" s="179">
        <v>1</v>
      </c>
      <c r="AJ89" s="176">
        <v>2</v>
      </c>
      <c r="AK89" s="176">
        <v>3</v>
      </c>
      <c r="AL89" s="176">
        <v>4</v>
      </c>
      <c r="AM89" s="176">
        <v>5</v>
      </c>
      <c r="AN89" s="176">
        <v>6</v>
      </c>
      <c r="AO89" s="179">
        <v>7</v>
      </c>
      <c r="AP89" s="179">
        <v>8</v>
      </c>
      <c r="AQ89" s="176">
        <v>9</v>
      </c>
      <c r="AR89" s="176">
        <v>10</v>
      </c>
      <c r="AS89" s="176">
        <v>11</v>
      </c>
      <c r="AT89" s="176">
        <v>12</v>
      </c>
      <c r="AU89" s="176">
        <v>13</v>
      </c>
      <c r="AV89" s="179">
        <v>14</v>
      </c>
      <c r="AW89" s="179">
        <v>15</v>
      </c>
      <c r="AX89" s="176">
        <v>16</v>
      </c>
      <c r="AY89" s="176">
        <v>17</v>
      </c>
      <c r="AZ89" s="176">
        <v>18</v>
      </c>
      <c r="BA89" s="176">
        <v>19</v>
      </c>
      <c r="BB89" s="176">
        <v>20</v>
      </c>
      <c r="BC89" s="179">
        <v>21</v>
      </c>
      <c r="BD89" s="179">
        <v>22</v>
      </c>
      <c r="BE89" s="177">
        <v>23</v>
      </c>
      <c r="BF89" s="176">
        <v>24</v>
      </c>
      <c r="BG89" s="176">
        <v>25</v>
      </c>
      <c r="BH89" s="176">
        <v>26</v>
      </c>
      <c r="BI89" s="176">
        <v>27</v>
      </c>
      <c r="BJ89" s="179">
        <v>28</v>
      </c>
      <c r="BK89" s="179">
        <v>29</v>
      </c>
      <c r="BL89" s="176">
        <v>30</v>
      </c>
      <c r="BM89" s="175">
        <v>1</v>
      </c>
      <c r="BN89" s="176">
        <v>2</v>
      </c>
      <c r="BO89" s="175">
        <v>3</v>
      </c>
      <c r="BP89" s="176">
        <v>4</v>
      </c>
      <c r="BQ89" s="179">
        <v>5</v>
      </c>
      <c r="BR89" s="177">
        <v>6</v>
      </c>
      <c r="BS89" s="179">
        <v>7</v>
      </c>
      <c r="BT89" s="177">
        <v>8</v>
      </c>
      <c r="BU89" s="175">
        <v>9</v>
      </c>
      <c r="BV89" s="176">
        <v>10</v>
      </c>
      <c r="BW89" s="175">
        <v>11</v>
      </c>
      <c r="BX89" s="179">
        <v>12</v>
      </c>
      <c r="BY89" s="177">
        <v>13</v>
      </c>
      <c r="BZ89" s="176">
        <v>14</v>
      </c>
      <c r="CA89" s="175">
        <v>15</v>
      </c>
      <c r="CB89" s="176">
        <v>16</v>
      </c>
      <c r="CC89" s="175">
        <v>17</v>
      </c>
      <c r="CD89" s="176">
        <v>18</v>
      </c>
      <c r="CE89" s="179">
        <v>19</v>
      </c>
      <c r="CF89" s="177">
        <v>20</v>
      </c>
      <c r="CG89" s="175">
        <v>21</v>
      </c>
      <c r="CH89" s="176">
        <v>22</v>
      </c>
      <c r="CI89" s="175">
        <v>23</v>
      </c>
      <c r="CJ89" s="176">
        <v>24</v>
      </c>
      <c r="CK89" s="175">
        <v>25</v>
      </c>
      <c r="CL89" s="179">
        <v>26</v>
      </c>
      <c r="CM89" s="177">
        <v>27</v>
      </c>
      <c r="CN89" s="176">
        <v>28</v>
      </c>
      <c r="CO89" s="175">
        <v>29</v>
      </c>
      <c r="CP89" s="176">
        <v>30</v>
      </c>
      <c r="CQ89" s="175">
        <v>31</v>
      </c>
    </row>
    <row r="90" spans="1:95" ht="15" thickBot="1" x14ac:dyDescent="0.4">
      <c r="A90" s="4"/>
      <c r="B90" s="4"/>
      <c r="C90" s="5"/>
      <c r="D90" s="175" t="s">
        <v>3</v>
      </c>
      <c r="E90" s="176" t="s">
        <v>4</v>
      </c>
      <c r="F90" s="177" t="s">
        <v>5</v>
      </c>
      <c r="G90" s="177" t="s">
        <v>6</v>
      </c>
      <c r="H90" s="176" t="s">
        <v>7</v>
      </c>
      <c r="I90" s="176" t="s">
        <v>8</v>
      </c>
      <c r="J90" s="176" t="s">
        <v>9</v>
      </c>
      <c r="K90" s="176" t="s">
        <v>3</v>
      </c>
      <c r="L90" s="176" t="s">
        <v>4</v>
      </c>
      <c r="M90" s="177" t="s">
        <v>5</v>
      </c>
      <c r="N90" s="177" t="s">
        <v>6</v>
      </c>
      <c r="O90" s="177" t="s">
        <v>7</v>
      </c>
      <c r="P90" s="176" t="s">
        <v>8</v>
      </c>
      <c r="Q90" s="176" t="s">
        <v>9</v>
      </c>
      <c r="R90" s="176" t="s">
        <v>3</v>
      </c>
      <c r="S90" s="176" t="s">
        <v>4</v>
      </c>
      <c r="T90" s="177" t="s">
        <v>5</v>
      </c>
      <c r="U90" s="177" t="s">
        <v>6</v>
      </c>
      <c r="V90" s="176" t="s">
        <v>7</v>
      </c>
      <c r="W90" s="176" t="s">
        <v>8</v>
      </c>
      <c r="X90" s="176" t="s">
        <v>9</v>
      </c>
      <c r="Y90" s="176" t="s">
        <v>3</v>
      </c>
      <c r="Z90" s="176" t="s">
        <v>4</v>
      </c>
      <c r="AA90" s="177" t="s">
        <v>5</v>
      </c>
      <c r="AB90" s="177" t="s">
        <v>6</v>
      </c>
      <c r="AC90" s="176" t="s">
        <v>7</v>
      </c>
      <c r="AD90" s="176" t="s">
        <v>8</v>
      </c>
      <c r="AE90" s="176" t="s">
        <v>9</v>
      </c>
      <c r="AF90" s="176" t="s">
        <v>3</v>
      </c>
      <c r="AG90" s="176" t="s">
        <v>4</v>
      </c>
      <c r="AH90" s="178" t="s">
        <v>5</v>
      </c>
      <c r="AI90" s="179" t="s">
        <v>6</v>
      </c>
      <c r="AJ90" s="175" t="s">
        <v>7</v>
      </c>
      <c r="AK90" s="175" t="s">
        <v>8</v>
      </c>
      <c r="AL90" s="175" t="s">
        <v>9</v>
      </c>
      <c r="AM90" s="175" t="s">
        <v>3</v>
      </c>
      <c r="AN90" s="175" t="s">
        <v>4</v>
      </c>
      <c r="AO90" s="179" t="s">
        <v>5</v>
      </c>
      <c r="AP90" s="179" t="s">
        <v>6</v>
      </c>
      <c r="AQ90" s="175" t="s">
        <v>7</v>
      </c>
      <c r="AR90" s="175" t="s">
        <v>8</v>
      </c>
      <c r="AS90" s="175" t="s">
        <v>9</v>
      </c>
      <c r="AT90" s="175" t="s">
        <v>3</v>
      </c>
      <c r="AU90" s="175" t="s">
        <v>4</v>
      </c>
      <c r="AV90" s="179" t="s">
        <v>5</v>
      </c>
      <c r="AW90" s="179" t="s">
        <v>6</v>
      </c>
      <c r="AX90" s="175" t="s">
        <v>7</v>
      </c>
      <c r="AY90" s="175" t="s">
        <v>8</v>
      </c>
      <c r="AZ90" s="175" t="s">
        <v>9</v>
      </c>
      <c r="BA90" s="175" t="s">
        <v>3</v>
      </c>
      <c r="BB90" s="175" t="s">
        <v>4</v>
      </c>
      <c r="BC90" s="179" t="s">
        <v>5</v>
      </c>
      <c r="BD90" s="179" t="s">
        <v>6</v>
      </c>
      <c r="BE90" s="179" t="s">
        <v>7</v>
      </c>
      <c r="BF90" s="175" t="s">
        <v>8</v>
      </c>
      <c r="BG90" s="175" t="s">
        <v>9</v>
      </c>
      <c r="BH90" s="175" t="s">
        <v>3</v>
      </c>
      <c r="BI90" s="175" t="s">
        <v>4</v>
      </c>
      <c r="BJ90" s="179" t="s">
        <v>5</v>
      </c>
      <c r="BK90" s="179" t="s">
        <v>6</v>
      </c>
      <c r="BL90" s="175" t="s">
        <v>7</v>
      </c>
      <c r="BM90" s="175" t="s">
        <v>8</v>
      </c>
      <c r="BN90" s="176" t="s">
        <v>9</v>
      </c>
      <c r="BO90" s="175" t="s">
        <v>3</v>
      </c>
      <c r="BP90" s="176" t="s">
        <v>4</v>
      </c>
      <c r="BQ90" s="179" t="s">
        <v>5</v>
      </c>
      <c r="BR90" s="177" t="s">
        <v>6</v>
      </c>
      <c r="BS90" s="179" t="s">
        <v>7</v>
      </c>
      <c r="BT90" s="177" t="s">
        <v>8</v>
      </c>
      <c r="BU90" s="175" t="s">
        <v>9</v>
      </c>
      <c r="BV90" s="176" t="s">
        <v>3</v>
      </c>
      <c r="BW90" s="175" t="s">
        <v>4</v>
      </c>
      <c r="BX90" s="179" t="s">
        <v>5</v>
      </c>
      <c r="BY90" s="177" t="s">
        <v>6</v>
      </c>
      <c r="BZ90" s="176" t="s">
        <v>7</v>
      </c>
      <c r="CA90" s="175" t="s">
        <v>8</v>
      </c>
      <c r="CB90" s="176" t="s">
        <v>9</v>
      </c>
      <c r="CC90" s="175" t="s">
        <v>3</v>
      </c>
      <c r="CD90" s="176" t="s">
        <v>4</v>
      </c>
      <c r="CE90" s="179" t="s">
        <v>5</v>
      </c>
      <c r="CF90" s="177" t="s">
        <v>6</v>
      </c>
      <c r="CG90" s="175" t="s">
        <v>7</v>
      </c>
      <c r="CH90" s="176" t="s">
        <v>8</v>
      </c>
      <c r="CI90" s="175" t="s">
        <v>9</v>
      </c>
      <c r="CJ90" s="176" t="s">
        <v>3</v>
      </c>
      <c r="CK90" s="175" t="s">
        <v>4</v>
      </c>
      <c r="CL90" s="179" t="s">
        <v>5</v>
      </c>
      <c r="CM90" s="177" t="s">
        <v>6</v>
      </c>
      <c r="CN90" s="176" t="s">
        <v>7</v>
      </c>
      <c r="CO90" s="175" t="s">
        <v>8</v>
      </c>
      <c r="CP90" s="176" t="s">
        <v>9</v>
      </c>
      <c r="CQ90" s="175" t="s">
        <v>3</v>
      </c>
    </row>
    <row r="91" spans="1:95" x14ac:dyDescent="0.35">
      <c r="A91" s="205" t="s">
        <v>32</v>
      </c>
      <c r="B91" s="6" t="s">
        <v>11</v>
      </c>
      <c r="C91" s="215" t="s">
        <v>55</v>
      </c>
      <c r="D91" s="44">
        <f t="shared" ref="D91:M91" si="165">15+D92</f>
        <v>15</v>
      </c>
      <c r="E91" s="45">
        <f t="shared" si="165"/>
        <v>15</v>
      </c>
      <c r="F91" s="45">
        <f t="shared" si="165"/>
        <v>15</v>
      </c>
      <c r="G91" s="45">
        <f t="shared" si="165"/>
        <v>15</v>
      </c>
      <c r="H91" s="45">
        <f t="shared" si="165"/>
        <v>15</v>
      </c>
      <c r="I91" s="45">
        <f t="shared" si="165"/>
        <v>15</v>
      </c>
      <c r="J91" s="45">
        <f t="shared" si="165"/>
        <v>15</v>
      </c>
      <c r="K91" s="45">
        <f t="shared" si="165"/>
        <v>15</v>
      </c>
      <c r="L91" s="45">
        <f t="shared" si="165"/>
        <v>15</v>
      </c>
      <c r="M91" s="45">
        <f t="shared" si="165"/>
        <v>15</v>
      </c>
      <c r="N91" s="45">
        <f t="shared" ref="N91:BY91" si="166">15+N92</f>
        <v>15</v>
      </c>
      <c r="O91" s="45">
        <f t="shared" si="166"/>
        <v>15</v>
      </c>
      <c r="P91" s="45">
        <f t="shared" si="166"/>
        <v>15</v>
      </c>
      <c r="Q91" s="45">
        <f t="shared" si="166"/>
        <v>15</v>
      </c>
      <c r="R91" s="45">
        <f t="shared" si="166"/>
        <v>15</v>
      </c>
      <c r="S91" s="45">
        <f t="shared" si="166"/>
        <v>15</v>
      </c>
      <c r="T91" s="45">
        <f t="shared" si="166"/>
        <v>15</v>
      </c>
      <c r="U91" s="45">
        <f t="shared" si="166"/>
        <v>15</v>
      </c>
      <c r="V91" s="45">
        <f t="shared" si="166"/>
        <v>15</v>
      </c>
      <c r="W91" s="45">
        <f t="shared" si="166"/>
        <v>15</v>
      </c>
      <c r="X91" s="45">
        <f t="shared" si="166"/>
        <v>15</v>
      </c>
      <c r="Y91" s="45">
        <f t="shared" si="166"/>
        <v>15</v>
      </c>
      <c r="Z91" s="45">
        <f t="shared" si="166"/>
        <v>15</v>
      </c>
      <c r="AA91" s="45">
        <f t="shared" si="166"/>
        <v>15</v>
      </c>
      <c r="AB91" s="45">
        <f t="shared" si="166"/>
        <v>15</v>
      </c>
      <c r="AC91" s="45">
        <f t="shared" si="166"/>
        <v>15</v>
      </c>
      <c r="AD91" s="45">
        <f t="shared" si="166"/>
        <v>15</v>
      </c>
      <c r="AE91" s="45">
        <f t="shared" si="166"/>
        <v>15</v>
      </c>
      <c r="AF91" s="45">
        <f t="shared" si="166"/>
        <v>15</v>
      </c>
      <c r="AG91" s="45">
        <f t="shared" si="166"/>
        <v>15</v>
      </c>
      <c r="AH91" s="46">
        <f t="shared" si="166"/>
        <v>15</v>
      </c>
      <c r="AI91" s="44">
        <f t="shared" si="166"/>
        <v>15</v>
      </c>
      <c r="AJ91" s="45">
        <f t="shared" si="166"/>
        <v>15</v>
      </c>
      <c r="AK91" s="45">
        <f t="shared" si="166"/>
        <v>15</v>
      </c>
      <c r="AL91" s="45">
        <f t="shared" si="166"/>
        <v>15</v>
      </c>
      <c r="AM91" s="45">
        <f t="shared" si="166"/>
        <v>15</v>
      </c>
      <c r="AN91" s="45">
        <f t="shared" si="166"/>
        <v>15</v>
      </c>
      <c r="AO91" s="45">
        <f t="shared" si="166"/>
        <v>15</v>
      </c>
      <c r="AP91" s="45">
        <f t="shared" si="166"/>
        <v>15</v>
      </c>
      <c r="AQ91" s="45">
        <f t="shared" si="166"/>
        <v>15</v>
      </c>
      <c r="AR91" s="45">
        <f t="shared" si="166"/>
        <v>15</v>
      </c>
      <c r="AS91" s="45">
        <f t="shared" si="166"/>
        <v>15</v>
      </c>
      <c r="AT91" s="45">
        <f t="shared" si="166"/>
        <v>15</v>
      </c>
      <c r="AU91" s="45">
        <f t="shared" si="166"/>
        <v>15</v>
      </c>
      <c r="AV91" s="45">
        <f t="shared" si="166"/>
        <v>15</v>
      </c>
      <c r="AW91" s="45">
        <f t="shared" si="166"/>
        <v>15</v>
      </c>
      <c r="AX91" s="45">
        <f t="shared" si="166"/>
        <v>15</v>
      </c>
      <c r="AY91" s="45">
        <f t="shared" si="166"/>
        <v>15</v>
      </c>
      <c r="AZ91" s="45">
        <f t="shared" si="166"/>
        <v>15</v>
      </c>
      <c r="BA91" s="45">
        <f t="shared" si="166"/>
        <v>15</v>
      </c>
      <c r="BB91" s="45">
        <f t="shared" si="166"/>
        <v>15</v>
      </c>
      <c r="BC91" s="45">
        <f t="shared" si="166"/>
        <v>15</v>
      </c>
      <c r="BD91" s="45">
        <f t="shared" si="166"/>
        <v>15</v>
      </c>
      <c r="BE91" s="45">
        <f t="shared" si="166"/>
        <v>15</v>
      </c>
      <c r="BF91" s="45">
        <f t="shared" si="166"/>
        <v>15</v>
      </c>
      <c r="BG91" s="45">
        <f t="shared" si="166"/>
        <v>15</v>
      </c>
      <c r="BH91" s="45">
        <f t="shared" si="166"/>
        <v>15</v>
      </c>
      <c r="BI91" s="45">
        <f t="shared" si="166"/>
        <v>15</v>
      </c>
      <c r="BJ91" s="45">
        <f t="shared" si="166"/>
        <v>15</v>
      </c>
      <c r="BK91" s="45">
        <f t="shared" si="166"/>
        <v>15</v>
      </c>
      <c r="BL91" s="47">
        <f t="shared" si="166"/>
        <v>15</v>
      </c>
      <c r="BM91" s="44">
        <f t="shared" si="166"/>
        <v>15</v>
      </c>
      <c r="BN91" s="45">
        <f t="shared" si="166"/>
        <v>15</v>
      </c>
      <c r="BO91" s="45">
        <f t="shared" si="166"/>
        <v>15</v>
      </c>
      <c r="BP91" s="45">
        <f t="shared" si="166"/>
        <v>15</v>
      </c>
      <c r="BQ91" s="45">
        <f t="shared" si="166"/>
        <v>15</v>
      </c>
      <c r="BR91" s="45">
        <f t="shared" si="166"/>
        <v>15</v>
      </c>
      <c r="BS91" s="45">
        <f t="shared" si="166"/>
        <v>15</v>
      </c>
      <c r="BT91" s="45">
        <f t="shared" si="166"/>
        <v>15</v>
      </c>
      <c r="BU91" s="45">
        <f t="shared" si="166"/>
        <v>15</v>
      </c>
      <c r="BV91" s="45">
        <f t="shared" si="166"/>
        <v>15</v>
      </c>
      <c r="BW91" s="45">
        <f t="shared" si="166"/>
        <v>15</v>
      </c>
      <c r="BX91" s="45">
        <f t="shared" si="166"/>
        <v>15</v>
      </c>
      <c r="BY91" s="45">
        <f t="shared" si="166"/>
        <v>15</v>
      </c>
      <c r="BZ91" s="45">
        <f t="shared" ref="BZ91:CQ91" si="167">15+BZ92</f>
        <v>15</v>
      </c>
      <c r="CA91" s="45">
        <f t="shared" si="167"/>
        <v>15</v>
      </c>
      <c r="CB91" s="45">
        <f t="shared" si="167"/>
        <v>15</v>
      </c>
      <c r="CC91" s="45">
        <f t="shared" si="167"/>
        <v>15</v>
      </c>
      <c r="CD91" s="45">
        <f t="shared" si="167"/>
        <v>15</v>
      </c>
      <c r="CE91" s="45">
        <f t="shared" si="167"/>
        <v>15</v>
      </c>
      <c r="CF91" s="45">
        <f t="shared" si="167"/>
        <v>15</v>
      </c>
      <c r="CG91" s="45">
        <f t="shared" si="167"/>
        <v>15</v>
      </c>
      <c r="CH91" s="45">
        <f t="shared" si="167"/>
        <v>15</v>
      </c>
      <c r="CI91" s="45">
        <f t="shared" si="167"/>
        <v>15</v>
      </c>
      <c r="CJ91" s="45">
        <f t="shared" si="167"/>
        <v>15</v>
      </c>
      <c r="CK91" s="45">
        <f t="shared" si="167"/>
        <v>15</v>
      </c>
      <c r="CL91" s="45">
        <f t="shared" si="167"/>
        <v>15</v>
      </c>
      <c r="CM91" s="45">
        <f t="shared" si="167"/>
        <v>15</v>
      </c>
      <c r="CN91" s="45">
        <f t="shared" si="167"/>
        <v>15</v>
      </c>
      <c r="CO91" s="45">
        <f t="shared" si="167"/>
        <v>15</v>
      </c>
      <c r="CP91" s="45">
        <f t="shared" si="167"/>
        <v>15</v>
      </c>
      <c r="CQ91" s="46">
        <f t="shared" si="167"/>
        <v>15</v>
      </c>
    </row>
    <row r="92" spans="1:95" x14ac:dyDescent="0.35">
      <c r="A92" s="206"/>
      <c r="B92" s="6" t="s">
        <v>13</v>
      </c>
      <c r="C92" s="216"/>
      <c r="D92" s="57">
        <v>0</v>
      </c>
      <c r="E92" s="57">
        <v>0</v>
      </c>
      <c r="F92" s="57">
        <v>0</v>
      </c>
      <c r="G92" s="57">
        <v>0</v>
      </c>
      <c r="H92" s="57">
        <v>0</v>
      </c>
      <c r="I92" s="57">
        <v>0</v>
      </c>
      <c r="J92" s="57">
        <v>0</v>
      </c>
      <c r="K92" s="57">
        <v>0</v>
      </c>
      <c r="L92" s="57">
        <v>0</v>
      </c>
      <c r="M92" s="57">
        <v>0</v>
      </c>
      <c r="N92" s="57">
        <v>0</v>
      </c>
      <c r="O92" s="57">
        <v>0</v>
      </c>
      <c r="P92" s="57">
        <v>0</v>
      </c>
      <c r="Q92" s="57">
        <v>0</v>
      </c>
      <c r="R92" s="57">
        <v>0</v>
      </c>
      <c r="S92" s="57">
        <v>0</v>
      </c>
      <c r="T92" s="57">
        <v>0</v>
      </c>
      <c r="U92" s="57">
        <v>0</v>
      </c>
      <c r="V92" s="57">
        <v>0</v>
      </c>
      <c r="W92" s="57">
        <v>0</v>
      </c>
      <c r="X92" s="57">
        <v>0</v>
      </c>
      <c r="Y92" s="57">
        <v>0</v>
      </c>
      <c r="Z92" s="57">
        <v>0</v>
      </c>
      <c r="AA92" s="57">
        <v>0</v>
      </c>
      <c r="AB92" s="57">
        <v>0</v>
      </c>
      <c r="AC92" s="57">
        <v>0</v>
      </c>
      <c r="AD92" s="57">
        <v>0</v>
      </c>
      <c r="AE92" s="57">
        <v>0</v>
      </c>
      <c r="AF92" s="57">
        <v>0</v>
      </c>
      <c r="AG92" s="57">
        <v>0</v>
      </c>
      <c r="AH92" s="57">
        <v>0</v>
      </c>
      <c r="AI92" s="57">
        <v>0</v>
      </c>
      <c r="AJ92" s="57">
        <v>0</v>
      </c>
      <c r="AK92" s="57">
        <v>0</v>
      </c>
      <c r="AL92" s="57">
        <v>0</v>
      </c>
      <c r="AM92" s="57">
        <v>0</v>
      </c>
      <c r="AN92" s="57">
        <v>0</v>
      </c>
      <c r="AO92" s="57">
        <v>0</v>
      </c>
      <c r="AP92" s="57">
        <v>0</v>
      </c>
      <c r="AQ92" s="57">
        <v>0</v>
      </c>
      <c r="AR92" s="57">
        <v>0</v>
      </c>
      <c r="AS92" s="57">
        <v>0</v>
      </c>
      <c r="AT92" s="57">
        <v>0</v>
      </c>
      <c r="AU92" s="57">
        <v>0</v>
      </c>
      <c r="AV92" s="57">
        <v>0</v>
      </c>
      <c r="AW92" s="57">
        <v>0</v>
      </c>
      <c r="AX92" s="57">
        <v>0</v>
      </c>
      <c r="AY92" s="57">
        <v>0</v>
      </c>
      <c r="AZ92" s="57">
        <v>0</v>
      </c>
      <c r="BA92" s="57">
        <v>0</v>
      </c>
      <c r="BB92" s="57">
        <v>0</v>
      </c>
      <c r="BC92" s="57">
        <v>0</v>
      </c>
      <c r="BD92" s="57">
        <v>0</v>
      </c>
      <c r="BE92" s="57">
        <v>0</v>
      </c>
      <c r="BF92" s="57">
        <v>0</v>
      </c>
      <c r="BG92" s="57">
        <v>0</v>
      </c>
      <c r="BH92" s="57">
        <v>0</v>
      </c>
      <c r="BI92" s="57">
        <v>0</v>
      </c>
      <c r="BJ92" s="57">
        <v>0</v>
      </c>
      <c r="BK92" s="57">
        <v>0</v>
      </c>
      <c r="BL92" s="57">
        <v>0</v>
      </c>
      <c r="BM92" s="48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50"/>
    </row>
    <row r="93" spans="1:95" x14ac:dyDescent="0.35">
      <c r="A93" s="205" t="s">
        <v>10</v>
      </c>
      <c r="B93" s="6" t="s">
        <v>11</v>
      </c>
      <c r="C93" s="216"/>
      <c r="D93" s="52">
        <f t="shared" ref="D93:W93" si="168">66+D94</f>
        <v>66</v>
      </c>
      <c r="E93" s="53">
        <f t="shared" si="168"/>
        <v>66</v>
      </c>
      <c r="F93" s="53">
        <f t="shared" si="168"/>
        <v>66</v>
      </c>
      <c r="G93" s="53">
        <f t="shared" si="168"/>
        <v>66</v>
      </c>
      <c r="H93" s="53">
        <f t="shared" si="168"/>
        <v>66</v>
      </c>
      <c r="I93" s="53">
        <f t="shared" si="168"/>
        <v>66</v>
      </c>
      <c r="J93" s="53">
        <f t="shared" si="168"/>
        <v>66</v>
      </c>
      <c r="K93" s="53">
        <f t="shared" si="168"/>
        <v>66</v>
      </c>
      <c r="L93" s="53">
        <f t="shared" si="168"/>
        <v>66</v>
      </c>
      <c r="M93" s="53">
        <f t="shared" si="168"/>
        <v>66</v>
      </c>
      <c r="N93" s="53">
        <f t="shared" si="168"/>
        <v>66</v>
      </c>
      <c r="O93" s="53">
        <f t="shared" si="168"/>
        <v>66</v>
      </c>
      <c r="P93" s="53">
        <f t="shared" si="168"/>
        <v>66</v>
      </c>
      <c r="Q93" s="53">
        <f t="shared" si="168"/>
        <v>66</v>
      </c>
      <c r="R93" s="53">
        <f t="shared" si="168"/>
        <v>66</v>
      </c>
      <c r="S93" s="53">
        <f t="shared" si="168"/>
        <v>66</v>
      </c>
      <c r="T93" s="53">
        <f t="shared" si="168"/>
        <v>66</v>
      </c>
      <c r="U93" s="53">
        <f t="shared" si="168"/>
        <v>55</v>
      </c>
      <c r="V93" s="53">
        <f t="shared" si="168"/>
        <v>66</v>
      </c>
      <c r="W93" s="53">
        <f t="shared" si="168"/>
        <v>66</v>
      </c>
      <c r="X93" s="53">
        <f t="shared" ref="X93" si="169">66+X94</f>
        <v>66</v>
      </c>
      <c r="Y93" s="53">
        <f t="shared" ref="Y93:CI93" si="170">66+Y94</f>
        <v>66</v>
      </c>
      <c r="Z93" s="53">
        <f t="shared" si="170"/>
        <v>66</v>
      </c>
      <c r="AA93" s="53">
        <f t="shared" si="170"/>
        <v>66</v>
      </c>
      <c r="AB93" s="53">
        <f t="shared" si="170"/>
        <v>56</v>
      </c>
      <c r="AC93" s="53">
        <f t="shared" si="170"/>
        <v>66</v>
      </c>
      <c r="AD93" s="53">
        <f t="shared" si="170"/>
        <v>66</v>
      </c>
      <c r="AE93" s="53">
        <f t="shared" si="170"/>
        <v>66</v>
      </c>
      <c r="AF93" s="53">
        <f t="shared" si="170"/>
        <v>66</v>
      </c>
      <c r="AG93" s="53">
        <f t="shared" si="170"/>
        <v>66</v>
      </c>
      <c r="AH93" s="54">
        <f t="shared" si="170"/>
        <v>66</v>
      </c>
      <c r="AI93" s="52">
        <f t="shared" si="170"/>
        <v>61</v>
      </c>
      <c r="AJ93" s="53">
        <f t="shared" si="170"/>
        <v>66</v>
      </c>
      <c r="AK93" s="53">
        <f t="shared" si="170"/>
        <v>66</v>
      </c>
      <c r="AL93" s="53">
        <f t="shared" si="170"/>
        <v>66</v>
      </c>
      <c r="AM93" s="53">
        <f t="shared" si="170"/>
        <v>66</v>
      </c>
      <c r="AN93" s="53">
        <f t="shared" si="170"/>
        <v>66</v>
      </c>
      <c r="AO93" s="53">
        <f t="shared" si="170"/>
        <v>66</v>
      </c>
      <c r="AP93" s="53">
        <f t="shared" si="170"/>
        <v>59</v>
      </c>
      <c r="AQ93" s="53">
        <f t="shared" si="170"/>
        <v>66</v>
      </c>
      <c r="AR93" s="53">
        <f t="shared" si="170"/>
        <v>66</v>
      </c>
      <c r="AS93" s="53">
        <f t="shared" si="170"/>
        <v>66</v>
      </c>
      <c r="AT93" s="53">
        <f t="shared" si="170"/>
        <v>66</v>
      </c>
      <c r="AU93" s="53">
        <f t="shared" si="170"/>
        <v>66</v>
      </c>
      <c r="AV93" s="53">
        <f t="shared" si="170"/>
        <v>66</v>
      </c>
      <c r="AW93" s="53">
        <f t="shared" si="170"/>
        <v>62</v>
      </c>
      <c r="AX93" s="53">
        <f t="shared" si="170"/>
        <v>66</v>
      </c>
      <c r="AY93" s="53">
        <f t="shared" si="170"/>
        <v>66</v>
      </c>
      <c r="AZ93" s="53">
        <f t="shared" si="170"/>
        <v>66</v>
      </c>
      <c r="BA93" s="53">
        <f t="shared" si="170"/>
        <v>66</v>
      </c>
      <c r="BB93" s="53">
        <f t="shared" si="170"/>
        <v>66</v>
      </c>
      <c r="BC93" s="53">
        <f t="shared" si="170"/>
        <v>66</v>
      </c>
      <c r="BD93" s="53">
        <f t="shared" si="170"/>
        <v>58</v>
      </c>
      <c r="BE93" s="53">
        <f t="shared" si="170"/>
        <v>66</v>
      </c>
      <c r="BF93" s="53">
        <f t="shared" si="170"/>
        <v>66</v>
      </c>
      <c r="BG93" s="53">
        <f t="shared" si="170"/>
        <v>66</v>
      </c>
      <c r="BH93" s="53">
        <f t="shared" si="170"/>
        <v>66</v>
      </c>
      <c r="BI93" s="53">
        <f t="shared" si="170"/>
        <v>66</v>
      </c>
      <c r="BJ93" s="53">
        <f t="shared" si="170"/>
        <v>66</v>
      </c>
      <c r="BK93" s="53">
        <f t="shared" si="170"/>
        <v>66</v>
      </c>
      <c r="BL93" s="55">
        <f t="shared" si="170"/>
        <v>66</v>
      </c>
      <c r="BM93" s="52">
        <f t="shared" si="170"/>
        <v>66</v>
      </c>
      <c r="BN93" s="53">
        <f t="shared" si="170"/>
        <v>66</v>
      </c>
      <c r="BO93" s="53">
        <f t="shared" si="170"/>
        <v>66</v>
      </c>
      <c r="BP93" s="53">
        <f t="shared" si="170"/>
        <v>66</v>
      </c>
      <c r="BQ93" s="53">
        <f t="shared" si="170"/>
        <v>66</v>
      </c>
      <c r="BR93" s="53">
        <f t="shared" si="170"/>
        <v>66</v>
      </c>
      <c r="BS93" s="53">
        <f t="shared" si="170"/>
        <v>66</v>
      </c>
      <c r="BT93" s="53">
        <f t="shared" si="170"/>
        <v>66</v>
      </c>
      <c r="BU93" s="53">
        <f t="shared" si="170"/>
        <v>66</v>
      </c>
      <c r="BV93" s="53">
        <f t="shared" si="170"/>
        <v>66</v>
      </c>
      <c r="BW93" s="53">
        <f t="shared" si="170"/>
        <v>66</v>
      </c>
      <c r="BX93" s="53">
        <f t="shared" si="170"/>
        <v>66</v>
      </c>
      <c r="BY93" s="53">
        <f t="shared" si="170"/>
        <v>66</v>
      </c>
      <c r="BZ93" s="53">
        <f t="shared" si="170"/>
        <v>66</v>
      </c>
      <c r="CA93" s="53">
        <f t="shared" si="170"/>
        <v>66</v>
      </c>
      <c r="CB93" s="53">
        <f t="shared" si="170"/>
        <v>66</v>
      </c>
      <c r="CC93" s="53">
        <f t="shared" si="170"/>
        <v>66</v>
      </c>
      <c r="CD93" s="53">
        <f t="shared" si="170"/>
        <v>66</v>
      </c>
      <c r="CE93" s="53">
        <f t="shared" si="170"/>
        <v>66</v>
      </c>
      <c r="CF93" s="53">
        <f t="shared" si="170"/>
        <v>66</v>
      </c>
      <c r="CG93" s="53">
        <f t="shared" si="170"/>
        <v>66</v>
      </c>
      <c r="CH93" s="53">
        <f t="shared" si="170"/>
        <v>66</v>
      </c>
      <c r="CI93" s="53">
        <f t="shared" si="170"/>
        <v>66</v>
      </c>
      <c r="CJ93" s="53">
        <f t="shared" ref="CJ93:CQ93" si="171">66+CJ94</f>
        <v>66</v>
      </c>
      <c r="CK93" s="53">
        <f t="shared" si="171"/>
        <v>66</v>
      </c>
      <c r="CL93" s="53">
        <f t="shared" si="171"/>
        <v>66</v>
      </c>
      <c r="CM93" s="53">
        <f t="shared" si="171"/>
        <v>66</v>
      </c>
      <c r="CN93" s="53">
        <f t="shared" si="171"/>
        <v>66</v>
      </c>
      <c r="CO93" s="53">
        <f t="shared" si="171"/>
        <v>66</v>
      </c>
      <c r="CP93" s="53">
        <f t="shared" si="171"/>
        <v>66</v>
      </c>
      <c r="CQ93" s="54">
        <f t="shared" si="171"/>
        <v>66</v>
      </c>
    </row>
    <row r="94" spans="1:95" x14ac:dyDescent="0.35">
      <c r="A94" s="206"/>
      <c r="B94" s="6" t="s">
        <v>13</v>
      </c>
      <c r="C94" s="216"/>
      <c r="D94" s="48"/>
      <c r="E94" s="49"/>
      <c r="F94" s="49"/>
      <c r="G94" s="49"/>
      <c r="H94" s="49"/>
      <c r="I94" s="49"/>
      <c r="J94" s="49"/>
      <c r="K94" s="49"/>
      <c r="L94" s="49"/>
      <c r="M94" s="49"/>
      <c r="N94" s="49"/>
      <c r="Q94" s="49"/>
      <c r="R94" s="49"/>
      <c r="S94" s="49"/>
      <c r="T94" s="49"/>
      <c r="U94" s="103">
        <v>-11</v>
      </c>
      <c r="V94" s="49"/>
      <c r="W94" s="49"/>
      <c r="X94" s="49"/>
      <c r="Y94" s="49"/>
      <c r="Z94" s="49"/>
      <c r="AA94" s="49"/>
      <c r="AB94" s="159">
        <v>-10</v>
      </c>
      <c r="AC94" s="49"/>
      <c r="AD94" s="49"/>
      <c r="AE94" s="49"/>
      <c r="AF94" s="49"/>
      <c r="AG94" s="49"/>
      <c r="AH94" s="50"/>
      <c r="AI94" s="159">
        <v>-5</v>
      </c>
      <c r="AJ94" s="49"/>
      <c r="AK94" s="49"/>
      <c r="AL94" s="49"/>
      <c r="AM94" s="49"/>
      <c r="AN94" s="49"/>
      <c r="AO94" s="49"/>
      <c r="AP94" s="159">
        <v>-7</v>
      </c>
      <c r="AQ94" s="49"/>
      <c r="AR94" s="49"/>
      <c r="AS94" s="49"/>
      <c r="AT94" s="49"/>
      <c r="AU94" s="49"/>
      <c r="AV94" s="49"/>
      <c r="AW94" s="159">
        <v>-4</v>
      </c>
      <c r="AX94" s="49"/>
      <c r="AY94" s="49"/>
      <c r="AZ94" s="49"/>
      <c r="BA94" s="49"/>
      <c r="BB94" s="49"/>
      <c r="BC94" s="49"/>
      <c r="BD94" s="103">
        <v>-8</v>
      </c>
      <c r="BE94" s="49"/>
      <c r="BF94" s="49"/>
      <c r="BG94" s="49"/>
      <c r="BH94" s="49"/>
      <c r="BI94" s="49"/>
      <c r="BJ94" s="49"/>
      <c r="BK94" s="49"/>
      <c r="BL94" s="51"/>
      <c r="BM94" s="48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50"/>
    </row>
    <row r="95" spans="1:95" x14ac:dyDescent="0.35">
      <c r="A95" s="7" t="s">
        <v>14</v>
      </c>
      <c r="B95" s="6" t="s">
        <v>13</v>
      </c>
      <c r="C95" s="216"/>
      <c r="D95" s="48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50"/>
      <c r="AI95" s="48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51"/>
      <c r="BM95" s="48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50"/>
    </row>
    <row r="96" spans="1:95" x14ac:dyDescent="0.35">
      <c r="A96" s="218" t="s">
        <v>56</v>
      </c>
      <c r="B96" s="6" t="s">
        <v>11</v>
      </c>
      <c r="C96" s="216"/>
      <c r="D96" s="52">
        <f t="shared" ref="D96:V96" si="172">11+D97</f>
        <v>11</v>
      </c>
      <c r="E96" s="53">
        <f t="shared" si="172"/>
        <v>11</v>
      </c>
      <c r="F96" s="53">
        <f t="shared" si="172"/>
        <v>11</v>
      </c>
      <c r="G96" s="53">
        <f t="shared" si="172"/>
        <v>11</v>
      </c>
      <c r="H96" s="53">
        <f t="shared" si="172"/>
        <v>11</v>
      </c>
      <c r="I96" s="53">
        <f t="shared" si="172"/>
        <v>11</v>
      </c>
      <c r="J96" s="53">
        <f t="shared" si="172"/>
        <v>11</v>
      </c>
      <c r="K96" s="53">
        <f t="shared" si="172"/>
        <v>11</v>
      </c>
      <c r="L96" s="53">
        <f t="shared" si="172"/>
        <v>11</v>
      </c>
      <c r="M96" s="53">
        <f t="shared" si="172"/>
        <v>11</v>
      </c>
      <c r="N96" s="53">
        <f t="shared" si="172"/>
        <v>11</v>
      </c>
      <c r="O96" s="53">
        <f t="shared" si="172"/>
        <v>11</v>
      </c>
      <c r="P96" s="53">
        <f t="shared" si="172"/>
        <v>11</v>
      </c>
      <c r="Q96" s="53">
        <f t="shared" si="172"/>
        <v>11</v>
      </c>
      <c r="R96" s="53">
        <f t="shared" si="172"/>
        <v>11</v>
      </c>
      <c r="S96" s="53">
        <f t="shared" si="172"/>
        <v>11</v>
      </c>
      <c r="T96" s="53">
        <f t="shared" si="172"/>
        <v>11</v>
      </c>
      <c r="U96" s="53">
        <f t="shared" si="172"/>
        <v>11</v>
      </c>
      <c r="V96" s="53">
        <f t="shared" si="172"/>
        <v>11</v>
      </c>
      <c r="W96" s="53">
        <f t="shared" ref="W96:CH96" si="173">11+W97</f>
        <v>11</v>
      </c>
      <c r="X96" s="53">
        <f t="shared" si="173"/>
        <v>11</v>
      </c>
      <c r="Y96" s="53">
        <f t="shared" si="173"/>
        <v>11</v>
      </c>
      <c r="Z96" s="53">
        <f t="shared" si="173"/>
        <v>11</v>
      </c>
      <c r="AA96" s="53">
        <f t="shared" si="173"/>
        <v>11</v>
      </c>
      <c r="AB96" s="53">
        <f t="shared" si="173"/>
        <v>11</v>
      </c>
      <c r="AC96" s="53">
        <f t="shared" si="173"/>
        <v>11</v>
      </c>
      <c r="AD96" s="53">
        <f t="shared" si="173"/>
        <v>11</v>
      </c>
      <c r="AE96" s="53">
        <f t="shared" si="173"/>
        <v>11</v>
      </c>
      <c r="AF96" s="53">
        <f t="shared" si="173"/>
        <v>11</v>
      </c>
      <c r="AG96" s="53">
        <f t="shared" si="173"/>
        <v>11</v>
      </c>
      <c r="AH96" s="54">
        <f t="shared" si="173"/>
        <v>11</v>
      </c>
      <c r="AI96" s="52">
        <f t="shared" si="173"/>
        <v>11</v>
      </c>
      <c r="AJ96" s="53">
        <f t="shared" si="173"/>
        <v>11</v>
      </c>
      <c r="AK96" s="53">
        <f t="shared" si="173"/>
        <v>11</v>
      </c>
      <c r="AL96" s="53">
        <f t="shared" si="173"/>
        <v>11</v>
      </c>
      <c r="AM96" s="53">
        <f t="shared" si="173"/>
        <v>11</v>
      </c>
      <c r="AN96" s="53">
        <f t="shared" si="173"/>
        <v>11</v>
      </c>
      <c r="AO96" s="53">
        <f t="shared" si="173"/>
        <v>11</v>
      </c>
      <c r="AP96" s="53">
        <f t="shared" si="173"/>
        <v>11</v>
      </c>
      <c r="AQ96" s="53">
        <f t="shared" si="173"/>
        <v>11</v>
      </c>
      <c r="AR96" s="53">
        <f t="shared" si="173"/>
        <v>11</v>
      </c>
      <c r="AS96" s="53">
        <f t="shared" si="173"/>
        <v>11</v>
      </c>
      <c r="AT96" s="53">
        <f t="shared" si="173"/>
        <v>11</v>
      </c>
      <c r="AU96" s="53">
        <f t="shared" si="173"/>
        <v>11</v>
      </c>
      <c r="AV96" s="53">
        <f t="shared" si="173"/>
        <v>11</v>
      </c>
      <c r="AW96" s="53">
        <f t="shared" si="173"/>
        <v>11</v>
      </c>
      <c r="AX96" s="53">
        <f t="shared" si="173"/>
        <v>11</v>
      </c>
      <c r="AY96" s="53">
        <f t="shared" si="173"/>
        <v>11</v>
      </c>
      <c r="AZ96" s="53">
        <f t="shared" si="173"/>
        <v>11</v>
      </c>
      <c r="BA96" s="53">
        <f t="shared" si="173"/>
        <v>11</v>
      </c>
      <c r="BB96" s="53">
        <f t="shared" si="173"/>
        <v>11</v>
      </c>
      <c r="BC96" s="53">
        <f t="shared" si="173"/>
        <v>11</v>
      </c>
      <c r="BD96" s="53">
        <f t="shared" si="173"/>
        <v>11</v>
      </c>
      <c r="BE96" s="53">
        <f t="shared" si="173"/>
        <v>11</v>
      </c>
      <c r="BF96" s="53">
        <f t="shared" si="173"/>
        <v>11</v>
      </c>
      <c r="BG96" s="53">
        <f t="shared" si="173"/>
        <v>11</v>
      </c>
      <c r="BH96" s="53">
        <f t="shared" si="173"/>
        <v>11</v>
      </c>
      <c r="BI96" s="53">
        <f t="shared" si="173"/>
        <v>11</v>
      </c>
      <c r="BJ96" s="53">
        <f t="shared" si="173"/>
        <v>11</v>
      </c>
      <c r="BK96" s="53">
        <f t="shared" si="173"/>
        <v>11</v>
      </c>
      <c r="BL96" s="55">
        <f t="shared" si="173"/>
        <v>11</v>
      </c>
      <c r="BM96" s="52">
        <f t="shared" si="173"/>
        <v>11</v>
      </c>
      <c r="BN96" s="53">
        <f t="shared" si="173"/>
        <v>11</v>
      </c>
      <c r="BO96" s="53">
        <f t="shared" si="173"/>
        <v>11</v>
      </c>
      <c r="BP96" s="53">
        <f t="shared" si="173"/>
        <v>11</v>
      </c>
      <c r="BQ96" s="53">
        <f t="shared" si="173"/>
        <v>11</v>
      </c>
      <c r="BR96" s="53">
        <f t="shared" si="173"/>
        <v>11</v>
      </c>
      <c r="BS96" s="53">
        <f t="shared" si="173"/>
        <v>11</v>
      </c>
      <c r="BT96" s="53">
        <f t="shared" si="173"/>
        <v>11</v>
      </c>
      <c r="BU96" s="53">
        <f t="shared" si="173"/>
        <v>11</v>
      </c>
      <c r="BV96" s="53">
        <f t="shared" si="173"/>
        <v>11</v>
      </c>
      <c r="BW96" s="53">
        <f t="shared" si="173"/>
        <v>11</v>
      </c>
      <c r="BX96" s="53">
        <f t="shared" si="173"/>
        <v>11</v>
      </c>
      <c r="BY96" s="53">
        <f t="shared" si="173"/>
        <v>11</v>
      </c>
      <c r="BZ96" s="53">
        <f t="shared" si="173"/>
        <v>11</v>
      </c>
      <c r="CA96" s="53">
        <f t="shared" si="173"/>
        <v>11</v>
      </c>
      <c r="CB96" s="53">
        <f t="shared" si="173"/>
        <v>11</v>
      </c>
      <c r="CC96" s="53">
        <f t="shared" si="173"/>
        <v>11</v>
      </c>
      <c r="CD96" s="53">
        <f t="shared" si="173"/>
        <v>11</v>
      </c>
      <c r="CE96" s="53">
        <f t="shared" si="173"/>
        <v>11</v>
      </c>
      <c r="CF96" s="53">
        <f t="shared" si="173"/>
        <v>11</v>
      </c>
      <c r="CG96" s="53">
        <f t="shared" si="173"/>
        <v>11</v>
      </c>
      <c r="CH96" s="53">
        <f t="shared" si="173"/>
        <v>11</v>
      </c>
      <c r="CI96" s="53">
        <f t="shared" ref="CI96:CQ96" si="174">11+CI97</f>
        <v>11</v>
      </c>
      <c r="CJ96" s="53">
        <f t="shared" si="174"/>
        <v>11</v>
      </c>
      <c r="CK96" s="53">
        <f t="shared" si="174"/>
        <v>11</v>
      </c>
      <c r="CL96" s="53">
        <f t="shared" si="174"/>
        <v>11</v>
      </c>
      <c r="CM96" s="53">
        <f t="shared" si="174"/>
        <v>11</v>
      </c>
      <c r="CN96" s="53">
        <f t="shared" si="174"/>
        <v>11</v>
      </c>
      <c r="CO96" s="53">
        <f t="shared" si="174"/>
        <v>11</v>
      </c>
      <c r="CP96" s="53">
        <f t="shared" si="174"/>
        <v>11</v>
      </c>
      <c r="CQ96" s="54">
        <f t="shared" si="174"/>
        <v>11</v>
      </c>
    </row>
    <row r="97" spans="1:95" x14ac:dyDescent="0.35">
      <c r="A97" s="219"/>
      <c r="B97" s="6" t="s">
        <v>13</v>
      </c>
      <c r="C97" s="216"/>
      <c r="D97" s="48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50"/>
      <c r="AI97" s="48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51"/>
      <c r="BM97" s="48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50"/>
    </row>
    <row r="98" spans="1:95" x14ac:dyDescent="0.35">
      <c r="A98" s="205" t="s">
        <v>57</v>
      </c>
      <c r="B98" s="6" t="s">
        <v>16</v>
      </c>
      <c r="C98" s="216"/>
      <c r="D98" s="52">
        <f t="shared" ref="D98:V98" si="175">0+D99</f>
        <v>0</v>
      </c>
      <c r="E98" s="53">
        <f t="shared" si="175"/>
        <v>0</v>
      </c>
      <c r="F98" s="53">
        <f t="shared" si="175"/>
        <v>0</v>
      </c>
      <c r="G98" s="53">
        <f t="shared" si="175"/>
        <v>0</v>
      </c>
      <c r="H98" s="53">
        <f t="shared" si="175"/>
        <v>0</v>
      </c>
      <c r="I98" s="53">
        <f t="shared" si="175"/>
        <v>0</v>
      </c>
      <c r="J98" s="53">
        <f t="shared" si="175"/>
        <v>0</v>
      </c>
      <c r="K98" s="53">
        <f t="shared" si="175"/>
        <v>0</v>
      </c>
      <c r="L98" s="53">
        <f t="shared" si="175"/>
        <v>0</v>
      </c>
      <c r="M98" s="53">
        <f t="shared" si="175"/>
        <v>0</v>
      </c>
      <c r="N98" s="53">
        <f t="shared" si="175"/>
        <v>0</v>
      </c>
      <c r="O98" s="53">
        <f t="shared" si="175"/>
        <v>0</v>
      </c>
      <c r="P98" s="53">
        <f t="shared" si="175"/>
        <v>0</v>
      </c>
      <c r="Q98" s="53">
        <f t="shared" si="175"/>
        <v>0</v>
      </c>
      <c r="R98" s="53">
        <f t="shared" si="175"/>
        <v>0</v>
      </c>
      <c r="S98" s="53">
        <f t="shared" si="175"/>
        <v>0</v>
      </c>
      <c r="T98" s="53">
        <f t="shared" si="175"/>
        <v>0</v>
      </c>
      <c r="U98" s="53">
        <f t="shared" si="175"/>
        <v>0</v>
      </c>
      <c r="V98" s="53">
        <f t="shared" si="175"/>
        <v>0</v>
      </c>
      <c r="W98" s="53">
        <f t="shared" ref="W98:CH98" si="176">0+W99</f>
        <v>0</v>
      </c>
      <c r="X98" s="53">
        <f t="shared" si="176"/>
        <v>0</v>
      </c>
      <c r="Y98" s="53">
        <f t="shared" si="176"/>
        <v>0</v>
      </c>
      <c r="Z98" s="53">
        <f t="shared" si="176"/>
        <v>0</v>
      </c>
      <c r="AA98" s="53">
        <f t="shared" si="176"/>
        <v>0</v>
      </c>
      <c r="AB98" s="53">
        <f t="shared" si="176"/>
        <v>0</v>
      </c>
      <c r="AC98" s="53">
        <f t="shared" si="176"/>
        <v>0</v>
      </c>
      <c r="AD98" s="53">
        <f t="shared" si="176"/>
        <v>0</v>
      </c>
      <c r="AE98" s="53">
        <f t="shared" si="176"/>
        <v>0</v>
      </c>
      <c r="AF98" s="53">
        <f t="shared" si="176"/>
        <v>0</v>
      </c>
      <c r="AG98" s="53">
        <f t="shared" si="176"/>
        <v>0</v>
      </c>
      <c r="AH98" s="54">
        <f t="shared" si="176"/>
        <v>0</v>
      </c>
      <c r="AI98" s="52">
        <f t="shared" si="176"/>
        <v>0</v>
      </c>
      <c r="AJ98" s="53">
        <f t="shared" si="176"/>
        <v>0</v>
      </c>
      <c r="AK98" s="53">
        <f t="shared" si="176"/>
        <v>0</v>
      </c>
      <c r="AL98" s="53">
        <f t="shared" si="176"/>
        <v>0</v>
      </c>
      <c r="AM98" s="53">
        <f t="shared" si="176"/>
        <v>0</v>
      </c>
      <c r="AN98" s="53">
        <f t="shared" si="176"/>
        <v>0</v>
      </c>
      <c r="AO98" s="53">
        <f t="shared" si="176"/>
        <v>0</v>
      </c>
      <c r="AP98" s="53">
        <f t="shared" si="176"/>
        <v>0</v>
      </c>
      <c r="AQ98" s="53">
        <f t="shared" si="176"/>
        <v>0</v>
      </c>
      <c r="AR98" s="53">
        <f t="shared" si="176"/>
        <v>0</v>
      </c>
      <c r="AS98" s="53">
        <f t="shared" si="176"/>
        <v>0</v>
      </c>
      <c r="AT98" s="53">
        <f t="shared" si="176"/>
        <v>0</v>
      </c>
      <c r="AU98" s="53">
        <f t="shared" si="176"/>
        <v>0</v>
      </c>
      <c r="AV98" s="53">
        <f t="shared" si="176"/>
        <v>0</v>
      </c>
      <c r="AW98" s="53">
        <f t="shared" si="176"/>
        <v>0</v>
      </c>
      <c r="AX98" s="53">
        <f t="shared" si="176"/>
        <v>0</v>
      </c>
      <c r="AY98" s="53">
        <f t="shared" si="176"/>
        <v>0</v>
      </c>
      <c r="AZ98" s="53">
        <f t="shared" si="176"/>
        <v>0</v>
      </c>
      <c r="BA98" s="53">
        <f t="shared" si="176"/>
        <v>0</v>
      </c>
      <c r="BB98" s="53">
        <f t="shared" si="176"/>
        <v>0</v>
      </c>
      <c r="BC98" s="53">
        <f t="shared" si="176"/>
        <v>0</v>
      </c>
      <c r="BD98" s="53">
        <f t="shared" si="176"/>
        <v>0</v>
      </c>
      <c r="BE98" s="53">
        <f t="shared" si="176"/>
        <v>0</v>
      </c>
      <c r="BF98" s="53">
        <f t="shared" si="176"/>
        <v>0</v>
      </c>
      <c r="BG98" s="53">
        <f t="shared" si="176"/>
        <v>0</v>
      </c>
      <c r="BH98" s="53">
        <f t="shared" si="176"/>
        <v>0</v>
      </c>
      <c r="BI98" s="53">
        <f t="shared" si="176"/>
        <v>0</v>
      </c>
      <c r="BJ98" s="53">
        <f t="shared" si="176"/>
        <v>0</v>
      </c>
      <c r="BK98" s="53">
        <f t="shared" si="176"/>
        <v>0</v>
      </c>
      <c r="BL98" s="55">
        <f t="shared" si="176"/>
        <v>0</v>
      </c>
      <c r="BM98" s="52">
        <f t="shared" si="176"/>
        <v>0</v>
      </c>
      <c r="BN98" s="53">
        <f t="shared" si="176"/>
        <v>0</v>
      </c>
      <c r="BO98" s="53">
        <f t="shared" si="176"/>
        <v>0</v>
      </c>
      <c r="BP98" s="53">
        <f t="shared" si="176"/>
        <v>0</v>
      </c>
      <c r="BQ98" s="53">
        <f t="shared" si="176"/>
        <v>0</v>
      </c>
      <c r="BR98" s="53">
        <f t="shared" si="176"/>
        <v>0</v>
      </c>
      <c r="BS98" s="53">
        <f t="shared" si="176"/>
        <v>0</v>
      </c>
      <c r="BT98" s="53">
        <f t="shared" si="176"/>
        <v>0</v>
      </c>
      <c r="BU98" s="53">
        <f t="shared" si="176"/>
        <v>0</v>
      </c>
      <c r="BV98" s="53">
        <f t="shared" si="176"/>
        <v>0</v>
      </c>
      <c r="BW98" s="53">
        <f t="shared" si="176"/>
        <v>0</v>
      </c>
      <c r="BX98" s="53">
        <f t="shared" si="176"/>
        <v>0</v>
      </c>
      <c r="BY98" s="53">
        <f t="shared" si="176"/>
        <v>0</v>
      </c>
      <c r="BZ98" s="53">
        <f t="shared" si="176"/>
        <v>0</v>
      </c>
      <c r="CA98" s="53">
        <f t="shared" si="176"/>
        <v>0</v>
      </c>
      <c r="CB98" s="53">
        <f t="shared" si="176"/>
        <v>0</v>
      </c>
      <c r="CC98" s="53">
        <f t="shared" si="176"/>
        <v>0</v>
      </c>
      <c r="CD98" s="53">
        <f t="shared" si="176"/>
        <v>0</v>
      </c>
      <c r="CE98" s="53">
        <f t="shared" si="176"/>
        <v>0</v>
      </c>
      <c r="CF98" s="53">
        <f t="shared" si="176"/>
        <v>0</v>
      </c>
      <c r="CG98" s="53">
        <f t="shared" si="176"/>
        <v>0</v>
      </c>
      <c r="CH98" s="53">
        <f t="shared" si="176"/>
        <v>0</v>
      </c>
      <c r="CI98" s="53">
        <f t="shared" ref="CI98:CQ98" si="177">0+CI99</f>
        <v>0</v>
      </c>
      <c r="CJ98" s="53">
        <f t="shared" si="177"/>
        <v>0</v>
      </c>
      <c r="CK98" s="53">
        <f t="shared" si="177"/>
        <v>0</v>
      </c>
      <c r="CL98" s="53">
        <f t="shared" si="177"/>
        <v>0</v>
      </c>
      <c r="CM98" s="53">
        <f t="shared" si="177"/>
        <v>0</v>
      </c>
      <c r="CN98" s="53">
        <f t="shared" si="177"/>
        <v>0</v>
      </c>
      <c r="CO98" s="53">
        <f t="shared" si="177"/>
        <v>0</v>
      </c>
      <c r="CP98" s="53">
        <f t="shared" si="177"/>
        <v>0</v>
      </c>
      <c r="CQ98" s="54">
        <f t="shared" si="177"/>
        <v>0</v>
      </c>
    </row>
    <row r="99" spans="1:95" x14ac:dyDescent="0.35">
      <c r="A99" s="206"/>
      <c r="B99" s="6" t="s">
        <v>17</v>
      </c>
      <c r="C99" s="216"/>
      <c r="D99" s="150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2"/>
      <c r="AI99" s="150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  <c r="BB99" s="151"/>
      <c r="BC99" s="151"/>
      <c r="BD99" s="151"/>
      <c r="BE99" s="151"/>
      <c r="BF99" s="151"/>
      <c r="BG99" s="151"/>
      <c r="BH99" s="151"/>
      <c r="BI99" s="151"/>
      <c r="BJ99" s="151"/>
      <c r="BK99" s="151"/>
      <c r="BL99" s="187"/>
      <c r="BM99" s="150"/>
      <c r="BN99" s="151"/>
      <c r="BO99" s="151"/>
      <c r="BP99" s="151"/>
      <c r="BQ99" s="151"/>
      <c r="BR99" s="151"/>
      <c r="BS99" s="151"/>
      <c r="BT99" s="151"/>
      <c r="BU99" s="151"/>
      <c r="BV99" s="151"/>
      <c r="BW99" s="151"/>
      <c r="BX99" s="151"/>
      <c r="BY99" s="151"/>
      <c r="BZ99" s="151"/>
      <c r="CA99" s="151"/>
      <c r="CB99" s="151"/>
      <c r="CC99" s="151"/>
      <c r="CD99" s="151"/>
      <c r="CE99" s="151"/>
      <c r="CF99" s="151"/>
      <c r="CG99" s="151"/>
      <c r="CH99" s="151"/>
      <c r="CI99" s="151"/>
      <c r="CJ99" s="151"/>
      <c r="CK99" s="151"/>
      <c r="CL99" s="151"/>
      <c r="CM99" s="151"/>
      <c r="CN99" s="151"/>
      <c r="CO99" s="151"/>
      <c r="CP99" s="151"/>
      <c r="CQ99" s="152"/>
    </row>
    <row r="100" spans="1:95" x14ac:dyDescent="0.35">
      <c r="A100" s="205" t="s">
        <v>19</v>
      </c>
      <c r="B100" s="6" t="s">
        <v>16</v>
      </c>
      <c r="C100" s="216"/>
      <c r="D100" s="52">
        <v>0.9</v>
      </c>
      <c r="E100" s="52">
        <v>0.9</v>
      </c>
      <c r="F100" s="52">
        <v>0.9</v>
      </c>
      <c r="G100" s="52">
        <v>0.9</v>
      </c>
      <c r="H100" s="52">
        <v>0.9</v>
      </c>
      <c r="I100" s="52">
        <v>0.9</v>
      </c>
      <c r="J100" s="52">
        <v>0.9</v>
      </c>
      <c r="K100" s="52">
        <v>0.9</v>
      </c>
      <c r="L100" s="52">
        <v>0.9</v>
      </c>
      <c r="M100" s="52">
        <v>0.9</v>
      </c>
      <c r="N100" s="52">
        <v>0.9</v>
      </c>
      <c r="O100" s="52">
        <v>0.9</v>
      </c>
      <c r="P100" s="52">
        <v>0.9</v>
      </c>
      <c r="Q100" s="52">
        <v>0.9</v>
      </c>
      <c r="R100" s="52">
        <v>0.9</v>
      </c>
      <c r="S100" s="52">
        <v>0.9</v>
      </c>
      <c r="T100" s="52">
        <v>0.9</v>
      </c>
      <c r="U100" s="52">
        <v>0.9</v>
      </c>
      <c r="V100" s="52">
        <v>0.9</v>
      </c>
      <c r="W100" s="52">
        <v>0.9</v>
      </c>
      <c r="X100" s="52">
        <v>0.9</v>
      </c>
      <c r="Y100" s="52">
        <v>0.9</v>
      </c>
      <c r="Z100" s="52">
        <v>0.9</v>
      </c>
      <c r="AA100" s="52">
        <v>0.9</v>
      </c>
      <c r="AB100" s="52">
        <v>0.9</v>
      </c>
      <c r="AC100" s="52">
        <v>0.9</v>
      </c>
      <c r="AD100" s="52">
        <v>0.9</v>
      </c>
      <c r="AE100" s="52">
        <v>0.9</v>
      </c>
      <c r="AF100" s="52">
        <v>0.9</v>
      </c>
      <c r="AG100" s="52">
        <v>0.9</v>
      </c>
      <c r="AH100" s="52">
        <v>0.9</v>
      </c>
      <c r="AI100" s="52">
        <v>0.9</v>
      </c>
      <c r="AJ100" s="52">
        <v>0.9</v>
      </c>
      <c r="AK100" s="52">
        <v>0.9</v>
      </c>
      <c r="AL100" s="52">
        <v>0.9</v>
      </c>
      <c r="AM100" s="52">
        <v>0.9</v>
      </c>
      <c r="AN100" s="52">
        <v>0.9</v>
      </c>
      <c r="AO100" s="52">
        <v>0.9</v>
      </c>
      <c r="AP100" s="52">
        <v>0.9</v>
      </c>
      <c r="AQ100" s="52">
        <v>0.9</v>
      </c>
      <c r="AR100" s="52">
        <v>0.9</v>
      </c>
      <c r="AS100" s="52">
        <v>0.9</v>
      </c>
      <c r="AT100" s="52">
        <v>0.9</v>
      </c>
      <c r="AU100" s="52">
        <v>0.9</v>
      </c>
      <c r="AV100" s="52">
        <v>0.9</v>
      </c>
      <c r="AW100" s="52">
        <v>0.9</v>
      </c>
      <c r="AX100" s="52">
        <v>0.9</v>
      </c>
      <c r="AY100" s="52">
        <v>0.9</v>
      </c>
      <c r="AZ100" s="52">
        <v>0.9</v>
      </c>
      <c r="BA100" s="52">
        <v>0.9</v>
      </c>
      <c r="BB100" s="52">
        <v>0.9</v>
      </c>
      <c r="BC100" s="52">
        <v>0.9</v>
      </c>
      <c r="BD100" s="52">
        <v>0.9</v>
      </c>
      <c r="BE100" s="52">
        <v>0.9</v>
      </c>
      <c r="BF100" s="52">
        <v>0.9</v>
      </c>
      <c r="BG100" s="52">
        <v>0.9</v>
      </c>
      <c r="BH100" s="52">
        <v>0.9</v>
      </c>
      <c r="BI100" s="52">
        <v>0.9</v>
      </c>
      <c r="BJ100" s="52">
        <v>0.9</v>
      </c>
      <c r="BK100" s="52">
        <v>0.9</v>
      </c>
      <c r="BL100" s="52">
        <v>0.9</v>
      </c>
      <c r="BM100" s="52">
        <v>0.9</v>
      </c>
      <c r="BN100" s="52">
        <v>0.9</v>
      </c>
      <c r="BO100" s="52">
        <v>0.9</v>
      </c>
      <c r="BP100" s="52">
        <v>0.9</v>
      </c>
      <c r="BQ100" s="52">
        <v>0.9</v>
      </c>
      <c r="BR100" s="52">
        <v>0.9</v>
      </c>
      <c r="BS100" s="52">
        <v>0.9</v>
      </c>
      <c r="BT100" s="52">
        <v>0.9</v>
      </c>
      <c r="BU100" s="52">
        <v>0.9</v>
      </c>
      <c r="BV100" s="52">
        <v>0.9</v>
      </c>
      <c r="BW100" s="52">
        <v>0.9</v>
      </c>
      <c r="BX100" s="52">
        <v>0.9</v>
      </c>
      <c r="BY100" s="52">
        <v>0.9</v>
      </c>
      <c r="BZ100" s="52">
        <v>0.9</v>
      </c>
      <c r="CA100" s="52">
        <v>0.9</v>
      </c>
      <c r="CB100" s="52">
        <v>0.9</v>
      </c>
      <c r="CC100" s="52">
        <v>0.9</v>
      </c>
      <c r="CD100" s="52">
        <v>0.9</v>
      </c>
      <c r="CE100" s="52">
        <v>0.9</v>
      </c>
      <c r="CF100" s="52">
        <v>0.9</v>
      </c>
      <c r="CG100" s="52">
        <v>0.9</v>
      </c>
      <c r="CH100" s="52">
        <v>0.9</v>
      </c>
      <c r="CI100" s="52">
        <v>0.9</v>
      </c>
      <c r="CJ100" s="52">
        <v>0.9</v>
      </c>
      <c r="CK100" s="52">
        <v>0.9</v>
      </c>
      <c r="CL100" s="52">
        <v>0.9</v>
      </c>
      <c r="CM100" s="52">
        <v>0.9</v>
      </c>
      <c r="CN100" s="52">
        <v>0.9</v>
      </c>
      <c r="CO100" s="52">
        <v>0.9</v>
      </c>
      <c r="CP100" s="52">
        <v>0.9</v>
      </c>
      <c r="CQ100" s="52">
        <v>0.9</v>
      </c>
    </row>
    <row r="101" spans="1:95" x14ac:dyDescent="0.35">
      <c r="A101" s="206"/>
      <c r="B101" s="6" t="s">
        <v>17</v>
      </c>
      <c r="C101" s="216"/>
      <c r="D101" s="61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103">
        <v>-0.9</v>
      </c>
      <c r="Y101" s="59"/>
      <c r="Z101" s="59"/>
      <c r="AA101" s="59"/>
      <c r="AB101" s="59"/>
      <c r="AC101" s="59"/>
      <c r="AD101" s="59"/>
      <c r="AE101" s="59"/>
      <c r="AF101" s="59"/>
      <c r="AG101" s="59"/>
      <c r="AH101" s="62"/>
      <c r="AI101" s="61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63"/>
      <c r="BM101" s="61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59"/>
      <c r="CO101" s="59"/>
      <c r="CP101" s="59"/>
      <c r="CQ101" s="62"/>
    </row>
    <row r="102" spans="1:95" x14ac:dyDescent="0.35">
      <c r="A102" s="205" t="s">
        <v>43</v>
      </c>
      <c r="B102" s="6" t="s">
        <v>16</v>
      </c>
      <c r="C102" s="216"/>
      <c r="D102" s="52">
        <f t="shared" ref="D102:V102" si="178">1.6+D103</f>
        <v>1.6</v>
      </c>
      <c r="E102" s="53">
        <f t="shared" si="178"/>
        <v>1.6</v>
      </c>
      <c r="F102" s="53">
        <f t="shared" si="178"/>
        <v>1.6</v>
      </c>
      <c r="G102" s="53">
        <f t="shared" si="178"/>
        <v>1.6</v>
      </c>
      <c r="H102" s="53">
        <f t="shared" si="178"/>
        <v>1.6</v>
      </c>
      <c r="I102" s="53">
        <f t="shared" si="178"/>
        <v>1.6</v>
      </c>
      <c r="J102" s="53">
        <f t="shared" si="178"/>
        <v>1.6</v>
      </c>
      <c r="K102" s="53">
        <f t="shared" si="178"/>
        <v>1.6</v>
      </c>
      <c r="L102" s="53">
        <f t="shared" si="178"/>
        <v>1.6</v>
      </c>
      <c r="M102" s="53">
        <f t="shared" si="178"/>
        <v>1.6</v>
      </c>
      <c r="N102" s="53">
        <f t="shared" si="178"/>
        <v>1.6</v>
      </c>
      <c r="O102" s="53">
        <f t="shared" si="178"/>
        <v>1.6</v>
      </c>
      <c r="P102" s="53">
        <f t="shared" si="178"/>
        <v>1.6</v>
      </c>
      <c r="Q102" s="53">
        <f t="shared" si="178"/>
        <v>1.6</v>
      </c>
      <c r="R102" s="53">
        <f t="shared" si="178"/>
        <v>1.6</v>
      </c>
      <c r="S102" s="53">
        <f t="shared" si="178"/>
        <v>1.6</v>
      </c>
      <c r="T102" s="53">
        <f t="shared" si="178"/>
        <v>1.6</v>
      </c>
      <c r="U102" s="53">
        <f t="shared" si="178"/>
        <v>1.6</v>
      </c>
      <c r="V102" s="53">
        <f t="shared" si="178"/>
        <v>1.6</v>
      </c>
      <c r="W102" s="53">
        <f t="shared" ref="W102:CH102" si="179">1.6+W103</f>
        <v>1.6</v>
      </c>
      <c r="X102" s="53">
        <f t="shared" si="179"/>
        <v>1.6</v>
      </c>
      <c r="Y102" s="53">
        <f t="shared" si="179"/>
        <v>1.6</v>
      </c>
      <c r="Z102" s="53">
        <f t="shared" si="179"/>
        <v>1.6</v>
      </c>
      <c r="AA102" s="53">
        <f t="shared" si="179"/>
        <v>1.6</v>
      </c>
      <c r="AB102" s="53">
        <f t="shared" si="179"/>
        <v>1.6</v>
      </c>
      <c r="AC102" s="53">
        <f t="shared" si="179"/>
        <v>1.6</v>
      </c>
      <c r="AD102" s="53">
        <f t="shared" si="179"/>
        <v>1.6</v>
      </c>
      <c r="AE102" s="53">
        <f t="shared" si="179"/>
        <v>1.6</v>
      </c>
      <c r="AF102" s="53">
        <f t="shared" si="179"/>
        <v>1.6</v>
      </c>
      <c r="AG102" s="53">
        <f t="shared" si="179"/>
        <v>1.6</v>
      </c>
      <c r="AH102" s="54">
        <f t="shared" si="179"/>
        <v>1.6</v>
      </c>
      <c r="AI102" s="52">
        <f t="shared" si="179"/>
        <v>1.6</v>
      </c>
      <c r="AJ102" s="53">
        <f t="shared" si="179"/>
        <v>1.6</v>
      </c>
      <c r="AK102" s="53">
        <f t="shared" si="179"/>
        <v>1.6</v>
      </c>
      <c r="AL102" s="53">
        <f t="shared" si="179"/>
        <v>1.6</v>
      </c>
      <c r="AM102" s="53">
        <f t="shared" si="179"/>
        <v>1.6</v>
      </c>
      <c r="AN102" s="53">
        <f t="shared" si="179"/>
        <v>1.6</v>
      </c>
      <c r="AO102" s="53">
        <f t="shared" si="179"/>
        <v>1.6</v>
      </c>
      <c r="AP102" s="53">
        <f t="shared" si="179"/>
        <v>1.6</v>
      </c>
      <c r="AQ102" s="53">
        <f t="shared" si="179"/>
        <v>1.6</v>
      </c>
      <c r="AR102" s="53">
        <f t="shared" si="179"/>
        <v>1.6</v>
      </c>
      <c r="AS102" s="53">
        <f t="shared" si="179"/>
        <v>1.6</v>
      </c>
      <c r="AT102" s="53">
        <f t="shared" si="179"/>
        <v>1.6</v>
      </c>
      <c r="AU102" s="53">
        <f t="shared" si="179"/>
        <v>1.6</v>
      </c>
      <c r="AV102" s="53">
        <f t="shared" si="179"/>
        <v>1.6</v>
      </c>
      <c r="AW102" s="53">
        <f t="shared" si="179"/>
        <v>1.6</v>
      </c>
      <c r="AX102" s="53">
        <f t="shared" si="179"/>
        <v>1.6</v>
      </c>
      <c r="AY102" s="53">
        <f t="shared" si="179"/>
        <v>1.6</v>
      </c>
      <c r="AZ102" s="53">
        <f t="shared" si="179"/>
        <v>1.6</v>
      </c>
      <c r="BA102" s="53">
        <f t="shared" si="179"/>
        <v>1.6</v>
      </c>
      <c r="BB102" s="53">
        <f t="shared" si="179"/>
        <v>1.6</v>
      </c>
      <c r="BC102" s="53">
        <f t="shared" si="179"/>
        <v>1.6</v>
      </c>
      <c r="BD102" s="53">
        <f t="shared" si="179"/>
        <v>1.6</v>
      </c>
      <c r="BE102" s="53">
        <f t="shared" si="179"/>
        <v>1.6</v>
      </c>
      <c r="BF102" s="53">
        <f t="shared" si="179"/>
        <v>1.6</v>
      </c>
      <c r="BG102" s="53">
        <f t="shared" si="179"/>
        <v>1.6</v>
      </c>
      <c r="BH102" s="53">
        <f t="shared" si="179"/>
        <v>1.6</v>
      </c>
      <c r="BI102" s="53">
        <f t="shared" si="179"/>
        <v>1.6</v>
      </c>
      <c r="BJ102" s="53">
        <f t="shared" si="179"/>
        <v>1.6</v>
      </c>
      <c r="BK102" s="53">
        <f t="shared" si="179"/>
        <v>1.6</v>
      </c>
      <c r="BL102" s="55">
        <f t="shared" si="179"/>
        <v>1.6</v>
      </c>
      <c r="BM102" s="52">
        <f t="shared" si="179"/>
        <v>1.6</v>
      </c>
      <c r="BN102" s="53">
        <f t="shared" si="179"/>
        <v>1.6</v>
      </c>
      <c r="BO102" s="53">
        <f t="shared" si="179"/>
        <v>1.6</v>
      </c>
      <c r="BP102" s="53">
        <f t="shared" si="179"/>
        <v>1.6</v>
      </c>
      <c r="BQ102" s="53">
        <f t="shared" si="179"/>
        <v>1.6</v>
      </c>
      <c r="BR102" s="53">
        <f t="shared" si="179"/>
        <v>1.6</v>
      </c>
      <c r="BS102" s="53">
        <f t="shared" si="179"/>
        <v>1.6</v>
      </c>
      <c r="BT102" s="53">
        <f t="shared" si="179"/>
        <v>1.6</v>
      </c>
      <c r="BU102" s="53">
        <f t="shared" si="179"/>
        <v>1.6</v>
      </c>
      <c r="BV102" s="53">
        <f t="shared" si="179"/>
        <v>1.6</v>
      </c>
      <c r="BW102" s="53">
        <f t="shared" si="179"/>
        <v>1.6</v>
      </c>
      <c r="BX102" s="53">
        <f t="shared" si="179"/>
        <v>1.6</v>
      </c>
      <c r="BY102" s="53">
        <f t="shared" si="179"/>
        <v>1.6</v>
      </c>
      <c r="BZ102" s="53">
        <f t="shared" si="179"/>
        <v>1.6</v>
      </c>
      <c r="CA102" s="53">
        <f t="shared" si="179"/>
        <v>1.6</v>
      </c>
      <c r="CB102" s="53">
        <f t="shared" si="179"/>
        <v>1.6</v>
      </c>
      <c r="CC102" s="53">
        <f t="shared" si="179"/>
        <v>1.6</v>
      </c>
      <c r="CD102" s="53">
        <f t="shared" si="179"/>
        <v>1.6</v>
      </c>
      <c r="CE102" s="53">
        <f t="shared" si="179"/>
        <v>1.6</v>
      </c>
      <c r="CF102" s="53">
        <f t="shared" si="179"/>
        <v>1.6</v>
      </c>
      <c r="CG102" s="53">
        <f t="shared" si="179"/>
        <v>1.6</v>
      </c>
      <c r="CH102" s="53">
        <f t="shared" si="179"/>
        <v>1.6</v>
      </c>
      <c r="CI102" s="53">
        <f t="shared" ref="CI102:CQ102" si="180">1.6+CI103</f>
        <v>1.6</v>
      </c>
      <c r="CJ102" s="53">
        <f t="shared" si="180"/>
        <v>1.6</v>
      </c>
      <c r="CK102" s="53">
        <f t="shared" si="180"/>
        <v>1.6</v>
      </c>
      <c r="CL102" s="53">
        <f t="shared" si="180"/>
        <v>1.6</v>
      </c>
      <c r="CM102" s="53">
        <f t="shared" si="180"/>
        <v>1.6</v>
      </c>
      <c r="CN102" s="53">
        <f t="shared" si="180"/>
        <v>1.6</v>
      </c>
      <c r="CO102" s="53">
        <f t="shared" si="180"/>
        <v>1.6</v>
      </c>
      <c r="CP102" s="53">
        <f t="shared" si="180"/>
        <v>1.6</v>
      </c>
      <c r="CQ102" s="54">
        <f t="shared" si="180"/>
        <v>1.6</v>
      </c>
    </row>
    <row r="103" spans="1:95" ht="15" thickBot="1" x14ac:dyDescent="0.4">
      <c r="A103" s="206"/>
      <c r="B103" s="6" t="s">
        <v>17</v>
      </c>
      <c r="C103" s="216"/>
      <c r="D103" s="69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1"/>
      <c r="AI103" s="69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70"/>
      <c r="BL103" s="72"/>
      <c r="BM103" s="69"/>
      <c r="BN103" s="70"/>
      <c r="BO103" s="70"/>
      <c r="BP103" s="70"/>
      <c r="BQ103" s="70"/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  <c r="CP103" s="70"/>
      <c r="CQ103" s="71"/>
    </row>
    <row r="104" spans="1:95" x14ac:dyDescent="0.35">
      <c r="A104" s="35" t="s">
        <v>58</v>
      </c>
      <c r="B104" s="8"/>
      <c r="C104" s="216"/>
      <c r="D104" s="153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5"/>
      <c r="AI104" s="153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54"/>
      <c r="BK104" s="154"/>
      <c r="BL104" s="160"/>
      <c r="BM104" s="153"/>
      <c r="BN104" s="154"/>
      <c r="BO104" s="154"/>
      <c r="BP104" s="154"/>
      <c r="BQ104" s="154"/>
      <c r="BR104" s="154"/>
      <c r="BS104" s="154"/>
      <c r="BT104" s="154"/>
      <c r="BU104" s="154"/>
      <c r="BV104" s="154"/>
      <c r="BW104" s="154"/>
      <c r="BX104" s="154"/>
      <c r="BY104" s="154"/>
      <c r="BZ104" s="154"/>
      <c r="CA104" s="154"/>
      <c r="CB104" s="154"/>
      <c r="CC104" s="154"/>
      <c r="CD104" s="154"/>
      <c r="CE104" s="154"/>
      <c r="CF104" s="154"/>
      <c r="CG104" s="154"/>
      <c r="CH104" s="154"/>
      <c r="CI104" s="154"/>
      <c r="CJ104" s="154"/>
      <c r="CK104" s="154"/>
      <c r="CL104" s="154"/>
      <c r="CM104" s="154"/>
      <c r="CN104" s="154"/>
      <c r="CO104" s="154"/>
      <c r="CP104" s="154"/>
      <c r="CQ104" s="155"/>
    </row>
    <row r="105" spans="1:95" x14ac:dyDescent="0.35">
      <c r="A105" s="36" t="s">
        <v>59</v>
      </c>
      <c r="B105" s="10"/>
      <c r="C105" s="216"/>
      <c r="D105" s="78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80"/>
      <c r="AI105" s="78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81"/>
      <c r="BM105" s="78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  <c r="CJ105" s="79"/>
      <c r="CK105" s="79"/>
      <c r="CL105" s="79"/>
      <c r="CM105" s="79"/>
      <c r="CN105" s="79"/>
      <c r="CO105" s="79"/>
      <c r="CP105" s="79"/>
      <c r="CQ105" s="80"/>
    </row>
    <row r="106" spans="1:95" x14ac:dyDescent="0.35">
      <c r="A106" s="37" t="s">
        <v>26</v>
      </c>
      <c r="B106" s="10"/>
      <c r="C106" s="216"/>
      <c r="D106" s="103">
        <f t="shared" ref="D106:V106" si="181">-1.5</f>
        <v>-1.5</v>
      </c>
      <c r="E106" s="103">
        <f t="shared" si="181"/>
        <v>-1.5</v>
      </c>
      <c r="F106" s="103">
        <f t="shared" si="181"/>
        <v>-1.5</v>
      </c>
      <c r="G106" s="103">
        <f t="shared" si="181"/>
        <v>-1.5</v>
      </c>
      <c r="H106" s="103">
        <f t="shared" si="181"/>
        <v>-1.5</v>
      </c>
      <c r="I106" s="103">
        <f t="shared" si="181"/>
        <v>-1.5</v>
      </c>
      <c r="J106" s="103">
        <f t="shared" si="181"/>
        <v>-1.5</v>
      </c>
      <c r="K106" s="103">
        <f t="shared" si="181"/>
        <v>-1.5</v>
      </c>
      <c r="L106" s="103">
        <f t="shared" si="181"/>
        <v>-1.5</v>
      </c>
      <c r="M106" s="103">
        <f t="shared" si="181"/>
        <v>-1.5</v>
      </c>
      <c r="N106" s="103">
        <f t="shared" si="181"/>
        <v>-1.5</v>
      </c>
      <c r="O106" s="103">
        <f t="shared" si="181"/>
        <v>-1.5</v>
      </c>
      <c r="P106" s="103">
        <f t="shared" si="181"/>
        <v>-1.5</v>
      </c>
      <c r="Q106" s="103">
        <f t="shared" si="181"/>
        <v>-1.5</v>
      </c>
      <c r="R106" s="103">
        <f t="shared" si="181"/>
        <v>-1.5</v>
      </c>
      <c r="S106" s="103">
        <f t="shared" si="181"/>
        <v>-1.5</v>
      </c>
      <c r="T106" s="103">
        <f t="shared" si="181"/>
        <v>-1.5</v>
      </c>
      <c r="U106" s="103">
        <f t="shared" si="181"/>
        <v>-1.5</v>
      </c>
      <c r="V106" s="103">
        <f t="shared" si="181"/>
        <v>-1.5</v>
      </c>
      <c r="W106" s="103">
        <f t="shared" ref="W106:CH106" si="182">-1.5</f>
        <v>-1.5</v>
      </c>
      <c r="X106" s="103">
        <f t="shared" si="182"/>
        <v>-1.5</v>
      </c>
      <c r="Y106" s="103">
        <f t="shared" si="182"/>
        <v>-1.5</v>
      </c>
      <c r="Z106" s="103">
        <f t="shared" si="182"/>
        <v>-1.5</v>
      </c>
      <c r="AA106" s="103">
        <f t="shared" si="182"/>
        <v>-1.5</v>
      </c>
      <c r="AB106" s="103">
        <f t="shared" si="182"/>
        <v>-1.5</v>
      </c>
      <c r="AC106" s="103">
        <f t="shared" si="182"/>
        <v>-1.5</v>
      </c>
      <c r="AD106" s="103">
        <f t="shared" si="182"/>
        <v>-1.5</v>
      </c>
      <c r="AE106" s="103">
        <f t="shared" si="182"/>
        <v>-1.5</v>
      </c>
      <c r="AF106" s="103">
        <f t="shared" si="182"/>
        <v>-1.5</v>
      </c>
      <c r="AG106" s="103">
        <f t="shared" si="182"/>
        <v>-1.5</v>
      </c>
      <c r="AH106" s="64">
        <f t="shared" si="182"/>
        <v>-1.5</v>
      </c>
      <c r="AI106" s="103">
        <f t="shared" si="182"/>
        <v>-1.5</v>
      </c>
      <c r="AJ106" s="103">
        <f t="shared" si="182"/>
        <v>-1.5</v>
      </c>
      <c r="AK106" s="103">
        <f t="shared" si="182"/>
        <v>-1.5</v>
      </c>
      <c r="AL106" s="103">
        <f t="shared" si="182"/>
        <v>-1.5</v>
      </c>
      <c r="AM106" s="103">
        <f t="shared" si="182"/>
        <v>-1.5</v>
      </c>
      <c r="AN106" s="103">
        <f t="shared" si="182"/>
        <v>-1.5</v>
      </c>
      <c r="AO106" s="103">
        <f t="shared" si="182"/>
        <v>-1.5</v>
      </c>
      <c r="AP106" s="103">
        <f t="shared" si="182"/>
        <v>-1.5</v>
      </c>
      <c r="AQ106" s="103">
        <f t="shared" si="182"/>
        <v>-1.5</v>
      </c>
      <c r="AR106" s="103">
        <f t="shared" si="182"/>
        <v>-1.5</v>
      </c>
      <c r="AS106" s="103">
        <f t="shared" si="182"/>
        <v>-1.5</v>
      </c>
      <c r="AT106" s="103">
        <f t="shared" si="182"/>
        <v>-1.5</v>
      </c>
      <c r="AU106" s="103">
        <f t="shared" si="182"/>
        <v>-1.5</v>
      </c>
      <c r="AV106" s="103">
        <f t="shared" si="182"/>
        <v>-1.5</v>
      </c>
      <c r="AW106" s="103">
        <f t="shared" si="182"/>
        <v>-1.5</v>
      </c>
      <c r="AX106" s="103">
        <f t="shared" si="182"/>
        <v>-1.5</v>
      </c>
      <c r="AY106" s="103">
        <f t="shared" si="182"/>
        <v>-1.5</v>
      </c>
      <c r="AZ106" s="103">
        <f t="shared" si="182"/>
        <v>-1.5</v>
      </c>
      <c r="BA106" s="103">
        <f t="shared" si="182"/>
        <v>-1.5</v>
      </c>
      <c r="BB106" s="103">
        <f t="shared" si="182"/>
        <v>-1.5</v>
      </c>
      <c r="BC106" s="103">
        <f t="shared" si="182"/>
        <v>-1.5</v>
      </c>
      <c r="BD106" s="103">
        <f t="shared" si="182"/>
        <v>-1.5</v>
      </c>
      <c r="BE106" s="103">
        <f t="shared" si="182"/>
        <v>-1.5</v>
      </c>
      <c r="BF106" s="103">
        <f t="shared" si="182"/>
        <v>-1.5</v>
      </c>
      <c r="BG106" s="103">
        <f t="shared" si="182"/>
        <v>-1.5</v>
      </c>
      <c r="BH106" s="103">
        <f t="shared" si="182"/>
        <v>-1.5</v>
      </c>
      <c r="BI106" s="103">
        <f t="shared" si="182"/>
        <v>-1.5</v>
      </c>
      <c r="BJ106" s="103">
        <f t="shared" si="182"/>
        <v>-1.5</v>
      </c>
      <c r="BK106" s="103">
        <f t="shared" si="182"/>
        <v>-1.5</v>
      </c>
      <c r="BL106" s="104">
        <f t="shared" si="182"/>
        <v>-1.5</v>
      </c>
      <c r="BM106" s="105">
        <f t="shared" si="182"/>
        <v>-1.5</v>
      </c>
      <c r="BN106" s="103">
        <f t="shared" si="182"/>
        <v>-1.5</v>
      </c>
      <c r="BO106" s="103">
        <f t="shared" si="182"/>
        <v>-1.5</v>
      </c>
      <c r="BP106" s="103">
        <f t="shared" si="182"/>
        <v>-1.5</v>
      </c>
      <c r="BQ106" s="103">
        <f t="shared" si="182"/>
        <v>-1.5</v>
      </c>
      <c r="BR106" s="103">
        <f t="shared" si="182"/>
        <v>-1.5</v>
      </c>
      <c r="BS106" s="103">
        <f t="shared" si="182"/>
        <v>-1.5</v>
      </c>
      <c r="BT106" s="103">
        <f t="shared" si="182"/>
        <v>-1.5</v>
      </c>
      <c r="BU106" s="103">
        <f t="shared" si="182"/>
        <v>-1.5</v>
      </c>
      <c r="BV106" s="103">
        <f t="shared" si="182"/>
        <v>-1.5</v>
      </c>
      <c r="BW106" s="103">
        <f t="shared" si="182"/>
        <v>-1.5</v>
      </c>
      <c r="BX106" s="103">
        <f t="shared" si="182"/>
        <v>-1.5</v>
      </c>
      <c r="BY106" s="103">
        <f t="shared" si="182"/>
        <v>-1.5</v>
      </c>
      <c r="BZ106" s="103">
        <f t="shared" si="182"/>
        <v>-1.5</v>
      </c>
      <c r="CA106" s="103">
        <f t="shared" si="182"/>
        <v>-1.5</v>
      </c>
      <c r="CB106" s="103">
        <f t="shared" si="182"/>
        <v>-1.5</v>
      </c>
      <c r="CC106" s="103">
        <f t="shared" si="182"/>
        <v>-1.5</v>
      </c>
      <c r="CD106" s="103">
        <f t="shared" si="182"/>
        <v>-1.5</v>
      </c>
      <c r="CE106" s="103">
        <f t="shared" si="182"/>
        <v>-1.5</v>
      </c>
      <c r="CF106" s="103">
        <f t="shared" si="182"/>
        <v>-1.5</v>
      </c>
      <c r="CG106" s="103">
        <f t="shared" si="182"/>
        <v>-1.5</v>
      </c>
      <c r="CH106" s="103">
        <f t="shared" si="182"/>
        <v>-1.5</v>
      </c>
      <c r="CI106" s="103">
        <f t="shared" ref="CI106:CQ106" si="183">-1.5</f>
        <v>-1.5</v>
      </c>
      <c r="CJ106" s="103">
        <f t="shared" si="183"/>
        <v>-1.5</v>
      </c>
      <c r="CK106" s="103">
        <f t="shared" si="183"/>
        <v>-1.5</v>
      </c>
      <c r="CL106" s="103">
        <f t="shared" si="183"/>
        <v>-1.5</v>
      </c>
      <c r="CM106" s="103">
        <f t="shared" si="183"/>
        <v>-1.5</v>
      </c>
      <c r="CN106" s="103">
        <f t="shared" si="183"/>
        <v>-1.5</v>
      </c>
      <c r="CO106" s="103">
        <f t="shared" si="183"/>
        <v>-1.5</v>
      </c>
      <c r="CP106" s="103">
        <f t="shared" si="183"/>
        <v>-1.5</v>
      </c>
      <c r="CQ106" s="64">
        <f t="shared" si="183"/>
        <v>-1.5</v>
      </c>
    </row>
    <row r="107" spans="1:95" ht="15" thickBot="1" x14ac:dyDescent="0.4">
      <c r="A107" s="38" t="s">
        <v>60</v>
      </c>
      <c r="B107" s="27"/>
      <c r="C107" s="216"/>
      <c r="D107" s="82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4"/>
      <c r="AI107" s="82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5"/>
      <c r="BM107" s="82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4"/>
    </row>
    <row r="108" spans="1:95" ht="15" thickBot="1" x14ac:dyDescent="0.4">
      <c r="A108" s="29" t="s">
        <v>28</v>
      </c>
      <c r="B108" s="30"/>
      <c r="C108" s="216"/>
      <c r="D108" s="88">
        <f t="shared" ref="D108:S108" si="184">+D92</f>
        <v>0</v>
      </c>
      <c r="E108" s="89">
        <f t="shared" si="184"/>
        <v>0</v>
      </c>
      <c r="F108" s="89">
        <f t="shared" si="184"/>
        <v>0</v>
      </c>
      <c r="G108" s="89">
        <f t="shared" si="184"/>
        <v>0</v>
      </c>
      <c r="H108" s="89">
        <f t="shared" si="184"/>
        <v>0</v>
      </c>
      <c r="I108" s="89">
        <f t="shared" si="184"/>
        <v>0</v>
      </c>
      <c r="J108" s="89">
        <f t="shared" si="184"/>
        <v>0</v>
      </c>
      <c r="K108" s="89">
        <f t="shared" si="184"/>
        <v>0</v>
      </c>
      <c r="L108" s="89">
        <f t="shared" si="184"/>
        <v>0</v>
      </c>
      <c r="M108" s="89">
        <f t="shared" si="184"/>
        <v>0</v>
      </c>
      <c r="N108" s="89">
        <f t="shared" si="184"/>
        <v>0</v>
      </c>
      <c r="O108" s="89">
        <f t="shared" si="184"/>
        <v>0</v>
      </c>
      <c r="P108" s="89">
        <f t="shared" si="184"/>
        <v>0</v>
      </c>
      <c r="Q108" s="89">
        <f t="shared" si="184"/>
        <v>0</v>
      </c>
      <c r="R108" s="89">
        <f t="shared" si="184"/>
        <v>0</v>
      </c>
      <c r="S108" s="89">
        <f t="shared" si="184"/>
        <v>0</v>
      </c>
      <c r="T108" s="89">
        <f t="shared" ref="T108:AX108" si="185">+T92</f>
        <v>0</v>
      </c>
      <c r="U108" s="89">
        <f t="shared" si="185"/>
        <v>0</v>
      </c>
      <c r="V108" s="89">
        <f t="shared" si="185"/>
        <v>0</v>
      </c>
      <c r="W108" s="89">
        <f t="shared" si="185"/>
        <v>0</v>
      </c>
      <c r="X108" s="89">
        <f t="shared" si="185"/>
        <v>0</v>
      </c>
      <c r="Y108" s="89">
        <f t="shared" si="185"/>
        <v>0</v>
      </c>
      <c r="Z108" s="89">
        <f t="shared" si="185"/>
        <v>0</v>
      </c>
      <c r="AA108" s="89">
        <f t="shared" si="185"/>
        <v>0</v>
      </c>
      <c r="AB108" s="89">
        <f t="shared" si="185"/>
        <v>0</v>
      </c>
      <c r="AC108" s="89">
        <f t="shared" si="185"/>
        <v>0</v>
      </c>
      <c r="AD108" s="89">
        <f t="shared" si="185"/>
        <v>0</v>
      </c>
      <c r="AE108" s="89">
        <f t="shared" si="185"/>
        <v>0</v>
      </c>
      <c r="AF108" s="89">
        <f t="shared" si="185"/>
        <v>0</v>
      </c>
      <c r="AG108" s="89">
        <f t="shared" si="185"/>
        <v>0</v>
      </c>
      <c r="AH108" s="87">
        <f t="shared" si="185"/>
        <v>0</v>
      </c>
      <c r="AI108" s="88">
        <f t="shared" si="185"/>
        <v>0</v>
      </c>
      <c r="AJ108" s="89">
        <f t="shared" si="185"/>
        <v>0</v>
      </c>
      <c r="AK108" s="89">
        <f t="shared" si="185"/>
        <v>0</v>
      </c>
      <c r="AL108" s="89">
        <f t="shared" si="185"/>
        <v>0</v>
      </c>
      <c r="AM108" s="89">
        <f t="shared" si="185"/>
        <v>0</v>
      </c>
      <c r="AN108" s="89">
        <f t="shared" si="185"/>
        <v>0</v>
      </c>
      <c r="AO108" s="89">
        <f t="shared" si="185"/>
        <v>0</v>
      </c>
      <c r="AP108" s="89">
        <f t="shared" si="185"/>
        <v>0</v>
      </c>
      <c r="AQ108" s="89">
        <f t="shared" si="185"/>
        <v>0</v>
      </c>
      <c r="AR108" s="89">
        <f t="shared" si="185"/>
        <v>0</v>
      </c>
      <c r="AS108" s="89">
        <f t="shared" si="185"/>
        <v>0</v>
      </c>
      <c r="AT108" s="89">
        <f t="shared" si="185"/>
        <v>0</v>
      </c>
      <c r="AU108" s="89">
        <f t="shared" si="185"/>
        <v>0</v>
      </c>
      <c r="AV108" s="89">
        <f t="shared" si="185"/>
        <v>0</v>
      </c>
      <c r="AW108" s="89">
        <f t="shared" si="185"/>
        <v>0</v>
      </c>
      <c r="AX108" s="89">
        <f t="shared" si="185"/>
        <v>0</v>
      </c>
      <c r="AY108" s="89">
        <f t="shared" ref="AY108:CQ108" si="186">+AY92</f>
        <v>0</v>
      </c>
      <c r="AZ108" s="89">
        <f t="shared" si="186"/>
        <v>0</v>
      </c>
      <c r="BA108" s="89">
        <f t="shared" si="186"/>
        <v>0</v>
      </c>
      <c r="BB108" s="89">
        <f t="shared" si="186"/>
        <v>0</v>
      </c>
      <c r="BC108" s="89">
        <f t="shared" si="186"/>
        <v>0</v>
      </c>
      <c r="BD108" s="89">
        <f t="shared" si="186"/>
        <v>0</v>
      </c>
      <c r="BE108" s="89">
        <f t="shared" si="186"/>
        <v>0</v>
      </c>
      <c r="BF108" s="89">
        <f t="shared" si="186"/>
        <v>0</v>
      </c>
      <c r="BG108" s="89">
        <f t="shared" si="186"/>
        <v>0</v>
      </c>
      <c r="BH108" s="89">
        <f t="shared" si="186"/>
        <v>0</v>
      </c>
      <c r="BI108" s="89">
        <f t="shared" si="186"/>
        <v>0</v>
      </c>
      <c r="BJ108" s="89">
        <f t="shared" si="186"/>
        <v>0</v>
      </c>
      <c r="BK108" s="89">
        <f t="shared" si="186"/>
        <v>0</v>
      </c>
      <c r="BL108" s="86">
        <f t="shared" si="186"/>
        <v>0</v>
      </c>
      <c r="BM108" s="88">
        <f t="shared" si="186"/>
        <v>0</v>
      </c>
      <c r="BN108" s="89">
        <f t="shared" si="186"/>
        <v>0</v>
      </c>
      <c r="BO108" s="89">
        <f t="shared" si="186"/>
        <v>0</v>
      </c>
      <c r="BP108" s="89">
        <f t="shared" si="186"/>
        <v>0</v>
      </c>
      <c r="BQ108" s="89">
        <f t="shared" si="186"/>
        <v>0</v>
      </c>
      <c r="BR108" s="89">
        <f t="shared" si="186"/>
        <v>0</v>
      </c>
      <c r="BS108" s="89">
        <f t="shared" si="186"/>
        <v>0</v>
      </c>
      <c r="BT108" s="89">
        <f t="shared" si="186"/>
        <v>0</v>
      </c>
      <c r="BU108" s="89">
        <f t="shared" si="186"/>
        <v>0</v>
      </c>
      <c r="BV108" s="89">
        <f t="shared" si="186"/>
        <v>0</v>
      </c>
      <c r="BW108" s="89">
        <f t="shared" si="186"/>
        <v>0</v>
      </c>
      <c r="BX108" s="89">
        <f t="shared" si="186"/>
        <v>0</v>
      </c>
      <c r="BY108" s="89">
        <f t="shared" si="186"/>
        <v>0</v>
      </c>
      <c r="BZ108" s="89">
        <f t="shared" si="186"/>
        <v>0</v>
      </c>
      <c r="CA108" s="89">
        <f t="shared" si="186"/>
        <v>0</v>
      </c>
      <c r="CB108" s="89">
        <f t="shared" si="186"/>
        <v>0</v>
      </c>
      <c r="CC108" s="89">
        <f t="shared" si="186"/>
        <v>0</v>
      </c>
      <c r="CD108" s="89">
        <f t="shared" si="186"/>
        <v>0</v>
      </c>
      <c r="CE108" s="89">
        <f t="shared" si="186"/>
        <v>0</v>
      </c>
      <c r="CF108" s="89">
        <f t="shared" si="186"/>
        <v>0</v>
      </c>
      <c r="CG108" s="89">
        <f t="shared" si="186"/>
        <v>0</v>
      </c>
      <c r="CH108" s="89">
        <f t="shared" si="186"/>
        <v>0</v>
      </c>
      <c r="CI108" s="89">
        <f t="shared" si="186"/>
        <v>0</v>
      </c>
      <c r="CJ108" s="89">
        <f t="shared" si="186"/>
        <v>0</v>
      </c>
      <c r="CK108" s="89">
        <f t="shared" si="186"/>
        <v>0</v>
      </c>
      <c r="CL108" s="89">
        <f t="shared" si="186"/>
        <v>0</v>
      </c>
      <c r="CM108" s="89">
        <f t="shared" si="186"/>
        <v>0</v>
      </c>
      <c r="CN108" s="89">
        <f t="shared" si="186"/>
        <v>0</v>
      </c>
      <c r="CO108" s="89">
        <f t="shared" si="186"/>
        <v>0</v>
      </c>
      <c r="CP108" s="89">
        <f t="shared" si="186"/>
        <v>0</v>
      </c>
      <c r="CQ108" s="87">
        <f t="shared" si="186"/>
        <v>0</v>
      </c>
    </row>
    <row r="109" spans="1:95" ht="15" thickBot="1" x14ac:dyDescent="0.4">
      <c r="A109" s="39" t="s">
        <v>29</v>
      </c>
      <c r="B109" s="40"/>
      <c r="C109" s="216"/>
      <c r="D109" s="92">
        <f t="shared" ref="D109:S109" si="187">D99+D101+D103</f>
        <v>0</v>
      </c>
      <c r="E109" s="93">
        <f t="shared" si="187"/>
        <v>0</v>
      </c>
      <c r="F109" s="93">
        <f t="shared" si="187"/>
        <v>0</v>
      </c>
      <c r="G109" s="93">
        <f t="shared" si="187"/>
        <v>0</v>
      </c>
      <c r="H109" s="93">
        <f t="shared" si="187"/>
        <v>0</v>
      </c>
      <c r="I109" s="93">
        <f t="shared" si="187"/>
        <v>0</v>
      </c>
      <c r="J109" s="93">
        <f t="shared" si="187"/>
        <v>0</v>
      </c>
      <c r="K109" s="93">
        <f t="shared" si="187"/>
        <v>0</v>
      </c>
      <c r="L109" s="93">
        <f t="shared" si="187"/>
        <v>0</v>
      </c>
      <c r="M109" s="93">
        <f t="shared" si="187"/>
        <v>0</v>
      </c>
      <c r="N109" s="93">
        <f t="shared" si="187"/>
        <v>0</v>
      </c>
      <c r="O109" s="93">
        <f t="shared" si="187"/>
        <v>0</v>
      </c>
      <c r="P109" s="93">
        <f t="shared" si="187"/>
        <v>0</v>
      </c>
      <c r="Q109" s="93">
        <f t="shared" si="187"/>
        <v>0</v>
      </c>
      <c r="R109" s="93">
        <f t="shared" si="187"/>
        <v>0</v>
      </c>
      <c r="S109" s="93">
        <f t="shared" si="187"/>
        <v>0</v>
      </c>
      <c r="T109" s="93">
        <f t="shared" ref="T109:AX109" si="188">T99+T101+T103</f>
        <v>0</v>
      </c>
      <c r="U109" s="93">
        <f t="shared" si="188"/>
        <v>0</v>
      </c>
      <c r="V109" s="93">
        <f t="shared" si="188"/>
        <v>0</v>
      </c>
      <c r="W109" s="93">
        <f t="shared" si="188"/>
        <v>0</v>
      </c>
      <c r="X109" s="93">
        <f t="shared" si="188"/>
        <v>-0.9</v>
      </c>
      <c r="Y109" s="93">
        <f t="shared" si="188"/>
        <v>0</v>
      </c>
      <c r="Z109" s="93">
        <f t="shared" si="188"/>
        <v>0</v>
      </c>
      <c r="AA109" s="93">
        <f t="shared" si="188"/>
        <v>0</v>
      </c>
      <c r="AB109" s="93">
        <f t="shared" si="188"/>
        <v>0</v>
      </c>
      <c r="AC109" s="93">
        <f t="shared" si="188"/>
        <v>0</v>
      </c>
      <c r="AD109" s="93">
        <f t="shared" si="188"/>
        <v>0</v>
      </c>
      <c r="AE109" s="93">
        <f t="shared" si="188"/>
        <v>0</v>
      </c>
      <c r="AF109" s="93">
        <f t="shared" si="188"/>
        <v>0</v>
      </c>
      <c r="AG109" s="93">
        <f t="shared" si="188"/>
        <v>0</v>
      </c>
      <c r="AH109" s="91">
        <f t="shared" si="188"/>
        <v>0</v>
      </c>
      <c r="AI109" s="92">
        <f t="shared" si="188"/>
        <v>0</v>
      </c>
      <c r="AJ109" s="93">
        <f t="shared" si="188"/>
        <v>0</v>
      </c>
      <c r="AK109" s="93">
        <f t="shared" si="188"/>
        <v>0</v>
      </c>
      <c r="AL109" s="93">
        <f t="shared" si="188"/>
        <v>0</v>
      </c>
      <c r="AM109" s="93">
        <f t="shared" si="188"/>
        <v>0</v>
      </c>
      <c r="AN109" s="93">
        <f t="shared" si="188"/>
        <v>0</v>
      </c>
      <c r="AO109" s="93">
        <f t="shared" si="188"/>
        <v>0</v>
      </c>
      <c r="AP109" s="93">
        <f t="shared" si="188"/>
        <v>0</v>
      </c>
      <c r="AQ109" s="93">
        <f t="shared" si="188"/>
        <v>0</v>
      </c>
      <c r="AR109" s="93">
        <f t="shared" si="188"/>
        <v>0</v>
      </c>
      <c r="AS109" s="93">
        <f t="shared" si="188"/>
        <v>0</v>
      </c>
      <c r="AT109" s="93">
        <f t="shared" si="188"/>
        <v>0</v>
      </c>
      <c r="AU109" s="93">
        <f t="shared" si="188"/>
        <v>0</v>
      </c>
      <c r="AV109" s="93">
        <f t="shared" si="188"/>
        <v>0</v>
      </c>
      <c r="AW109" s="93">
        <f t="shared" si="188"/>
        <v>0</v>
      </c>
      <c r="AX109" s="93">
        <f t="shared" si="188"/>
        <v>0</v>
      </c>
      <c r="AY109" s="93">
        <f t="shared" ref="AY109:CQ109" si="189">AY99+AY101+AY103</f>
        <v>0</v>
      </c>
      <c r="AZ109" s="93">
        <f t="shared" si="189"/>
        <v>0</v>
      </c>
      <c r="BA109" s="93">
        <f t="shared" si="189"/>
        <v>0</v>
      </c>
      <c r="BB109" s="93">
        <f t="shared" si="189"/>
        <v>0</v>
      </c>
      <c r="BC109" s="93">
        <f t="shared" si="189"/>
        <v>0</v>
      </c>
      <c r="BD109" s="93">
        <f t="shared" si="189"/>
        <v>0</v>
      </c>
      <c r="BE109" s="93">
        <f t="shared" si="189"/>
        <v>0</v>
      </c>
      <c r="BF109" s="93">
        <f t="shared" si="189"/>
        <v>0</v>
      </c>
      <c r="BG109" s="93">
        <f t="shared" si="189"/>
        <v>0</v>
      </c>
      <c r="BH109" s="93">
        <f t="shared" si="189"/>
        <v>0</v>
      </c>
      <c r="BI109" s="93">
        <f t="shared" si="189"/>
        <v>0</v>
      </c>
      <c r="BJ109" s="93">
        <f t="shared" si="189"/>
        <v>0</v>
      </c>
      <c r="BK109" s="93">
        <f t="shared" si="189"/>
        <v>0</v>
      </c>
      <c r="BL109" s="90">
        <f t="shared" si="189"/>
        <v>0</v>
      </c>
      <c r="BM109" s="92">
        <f t="shared" si="189"/>
        <v>0</v>
      </c>
      <c r="BN109" s="93">
        <f t="shared" si="189"/>
        <v>0</v>
      </c>
      <c r="BO109" s="93">
        <f t="shared" si="189"/>
        <v>0</v>
      </c>
      <c r="BP109" s="93">
        <f t="shared" si="189"/>
        <v>0</v>
      </c>
      <c r="BQ109" s="93">
        <f t="shared" si="189"/>
        <v>0</v>
      </c>
      <c r="BR109" s="93">
        <f t="shared" si="189"/>
        <v>0</v>
      </c>
      <c r="BS109" s="93">
        <f t="shared" si="189"/>
        <v>0</v>
      </c>
      <c r="BT109" s="93">
        <f t="shared" si="189"/>
        <v>0</v>
      </c>
      <c r="BU109" s="93">
        <f t="shared" si="189"/>
        <v>0</v>
      </c>
      <c r="BV109" s="93">
        <f t="shared" si="189"/>
        <v>0</v>
      </c>
      <c r="BW109" s="93">
        <f t="shared" si="189"/>
        <v>0</v>
      </c>
      <c r="BX109" s="93">
        <f t="shared" si="189"/>
        <v>0</v>
      </c>
      <c r="BY109" s="93">
        <f t="shared" si="189"/>
        <v>0</v>
      </c>
      <c r="BZ109" s="93">
        <f t="shared" si="189"/>
        <v>0</v>
      </c>
      <c r="CA109" s="93">
        <f t="shared" si="189"/>
        <v>0</v>
      </c>
      <c r="CB109" s="93">
        <f t="shared" si="189"/>
        <v>0</v>
      </c>
      <c r="CC109" s="93">
        <f t="shared" si="189"/>
        <v>0</v>
      </c>
      <c r="CD109" s="93">
        <f t="shared" si="189"/>
        <v>0</v>
      </c>
      <c r="CE109" s="93">
        <f t="shared" si="189"/>
        <v>0</v>
      </c>
      <c r="CF109" s="93">
        <f t="shared" si="189"/>
        <v>0</v>
      </c>
      <c r="CG109" s="93">
        <f t="shared" si="189"/>
        <v>0</v>
      </c>
      <c r="CH109" s="93">
        <f t="shared" si="189"/>
        <v>0</v>
      </c>
      <c r="CI109" s="93">
        <f t="shared" si="189"/>
        <v>0</v>
      </c>
      <c r="CJ109" s="93">
        <f t="shared" si="189"/>
        <v>0</v>
      </c>
      <c r="CK109" s="93">
        <f t="shared" si="189"/>
        <v>0</v>
      </c>
      <c r="CL109" s="93">
        <f t="shared" si="189"/>
        <v>0</v>
      </c>
      <c r="CM109" s="93">
        <f t="shared" si="189"/>
        <v>0</v>
      </c>
      <c r="CN109" s="93">
        <f t="shared" si="189"/>
        <v>0</v>
      </c>
      <c r="CO109" s="93">
        <f t="shared" si="189"/>
        <v>0</v>
      </c>
      <c r="CP109" s="93">
        <f t="shared" si="189"/>
        <v>0</v>
      </c>
      <c r="CQ109" s="91">
        <f t="shared" si="189"/>
        <v>0</v>
      </c>
    </row>
    <row r="110" spans="1:95" ht="15" thickBot="1" x14ac:dyDescent="0.4">
      <c r="A110" s="41" t="s">
        <v>54</v>
      </c>
      <c r="B110" s="32"/>
      <c r="C110" s="216"/>
      <c r="D110" s="142">
        <f t="shared" ref="D110:S110" si="190">IF(D104="",+D99+D101+D103,+D99+D101+D103+1)</f>
        <v>0</v>
      </c>
      <c r="E110" s="143">
        <f t="shared" si="190"/>
        <v>0</v>
      </c>
      <c r="F110" s="143">
        <f t="shared" si="190"/>
        <v>0</v>
      </c>
      <c r="G110" s="143">
        <f t="shared" si="190"/>
        <v>0</v>
      </c>
      <c r="H110" s="143">
        <f t="shared" si="190"/>
        <v>0</v>
      </c>
      <c r="I110" s="143">
        <f t="shared" si="190"/>
        <v>0</v>
      </c>
      <c r="J110" s="143">
        <f t="shared" si="190"/>
        <v>0</v>
      </c>
      <c r="K110" s="143">
        <f t="shared" si="190"/>
        <v>0</v>
      </c>
      <c r="L110" s="143">
        <f t="shared" si="190"/>
        <v>0</v>
      </c>
      <c r="M110" s="143">
        <f t="shared" si="190"/>
        <v>0</v>
      </c>
      <c r="N110" s="143">
        <f t="shared" si="190"/>
        <v>0</v>
      </c>
      <c r="O110" s="143">
        <f t="shared" si="190"/>
        <v>0</v>
      </c>
      <c r="P110" s="143">
        <f t="shared" si="190"/>
        <v>0</v>
      </c>
      <c r="Q110" s="143">
        <f t="shared" si="190"/>
        <v>0</v>
      </c>
      <c r="R110" s="143">
        <f t="shared" si="190"/>
        <v>0</v>
      </c>
      <c r="S110" s="143">
        <f t="shared" si="190"/>
        <v>0</v>
      </c>
      <c r="T110" s="143">
        <f t="shared" ref="T110:AX110" si="191">IF(T104="",+T99+T101+T103,+T99+T101+T103+1)</f>
        <v>0</v>
      </c>
      <c r="U110" s="143">
        <f t="shared" si="191"/>
        <v>0</v>
      </c>
      <c r="V110" s="143">
        <f t="shared" si="191"/>
        <v>0</v>
      </c>
      <c r="W110" s="143">
        <f t="shared" si="191"/>
        <v>0</v>
      </c>
      <c r="X110" s="143">
        <f t="shared" si="191"/>
        <v>-0.9</v>
      </c>
      <c r="Y110" s="143">
        <f t="shared" si="191"/>
        <v>0</v>
      </c>
      <c r="Z110" s="143">
        <f t="shared" si="191"/>
        <v>0</v>
      </c>
      <c r="AA110" s="143">
        <f t="shared" si="191"/>
        <v>0</v>
      </c>
      <c r="AB110" s="143">
        <f t="shared" si="191"/>
        <v>0</v>
      </c>
      <c r="AC110" s="143">
        <f t="shared" si="191"/>
        <v>0</v>
      </c>
      <c r="AD110" s="143">
        <f t="shared" si="191"/>
        <v>0</v>
      </c>
      <c r="AE110" s="143">
        <f t="shared" si="191"/>
        <v>0</v>
      </c>
      <c r="AF110" s="143">
        <f t="shared" si="191"/>
        <v>0</v>
      </c>
      <c r="AG110" s="143">
        <f t="shared" si="191"/>
        <v>0</v>
      </c>
      <c r="AH110" s="144">
        <f t="shared" si="191"/>
        <v>0</v>
      </c>
      <c r="AI110" s="142">
        <f t="shared" si="191"/>
        <v>0</v>
      </c>
      <c r="AJ110" s="143">
        <f t="shared" si="191"/>
        <v>0</v>
      </c>
      <c r="AK110" s="143">
        <f t="shared" si="191"/>
        <v>0</v>
      </c>
      <c r="AL110" s="143">
        <f t="shared" si="191"/>
        <v>0</v>
      </c>
      <c r="AM110" s="143">
        <f t="shared" si="191"/>
        <v>0</v>
      </c>
      <c r="AN110" s="143">
        <f t="shared" si="191"/>
        <v>0</v>
      </c>
      <c r="AO110" s="143">
        <f t="shared" si="191"/>
        <v>0</v>
      </c>
      <c r="AP110" s="143">
        <f t="shared" si="191"/>
        <v>0</v>
      </c>
      <c r="AQ110" s="143">
        <f t="shared" si="191"/>
        <v>0</v>
      </c>
      <c r="AR110" s="143">
        <f t="shared" si="191"/>
        <v>0</v>
      </c>
      <c r="AS110" s="143">
        <f t="shared" si="191"/>
        <v>0</v>
      </c>
      <c r="AT110" s="143">
        <f t="shared" si="191"/>
        <v>0</v>
      </c>
      <c r="AU110" s="143">
        <f t="shared" si="191"/>
        <v>0</v>
      </c>
      <c r="AV110" s="143">
        <f t="shared" si="191"/>
        <v>0</v>
      </c>
      <c r="AW110" s="143">
        <f t="shared" si="191"/>
        <v>0</v>
      </c>
      <c r="AX110" s="143">
        <f t="shared" si="191"/>
        <v>0</v>
      </c>
      <c r="AY110" s="143">
        <f t="shared" ref="AY110:CQ110" si="192">IF(AY104="",+AY99+AY101+AY103,+AY99+AY101+AY103+1)</f>
        <v>0</v>
      </c>
      <c r="AZ110" s="143">
        <f t="shared" si="192"/>
        <v>0</v>
      </c>
      <c r="BA110" s="143">
        <f t="shared" si="192"/>
        <v>0</v>
      </c>
      <c r="BB110" s="143">
        <f t="shared" si="192"/>
        <v>0</v>
      </c>
      <c r="BC110" s="143">
        <f t="shared" si="192"/>
        <v>0</v>
      </c>
      <c r="BD110" s="143">
        <f t="shared" si="192"/>
        <v>0</v>
      </c>
      <c r="BE110" s="143">
        <f t="shared" si="192"/>
        <v>0</v>
      </c>
      <c r="BF110" s="143">
        <f t="shared" si="192"/>
        <v>0</v>
      </c>
      <c r="BG110" s="143">
        <f t="shared" si="192"/>
        <v>0</v>
      </c>
      <c r="BH110" s="143">
        <f t="shared" si="192"/>
        <v>0</v>
      </c>
      <c r="BI110" s="143">
        <f t="shared" si="192"/>
        <v>0</v>
      </c>
      <c r="BJ110" s="143">
        <f t="shared" si="192"/>
        <v>0</v>
      </c>
      <c r="BK110" s="143">
        <f t="shared" si="192"/>
        <v>0</v>
      </c>
      <c r="BL110" s="188">
        <f t="shared" si="192"/>
        <v>0</v>
      </c>
      <c r="BM110" s="142">
        <f t="shared" si="192"/>
        <v>0</v>
      </c>
      <c r="BN110" s="143">
        <f t="shared" si="192"/>
        <v>0</v>
      </c>
      <c r="BO110" s="143">
        <f t="shared" si="192"/>
        <v>0</v>
      </c>
      <c r="BP110" s="143">
        <f t="shared" si="192"/>
        <v>0</v>
      </c>
      <c r="BQ110" s="143">
        <f t="shared" si="192"/>
        <v>0</v>
      </c>
      <c r="BR110" s="143">
        <f t="shared" si="192"/>
        <v>0</v>
      </c>
      <c r="BS110" s="143">
        <f t="shared" si="192"/>
        <v>0</v>
      </c>
      <c r="BT110" s="143">
        <f t="shared" si="192"/>
        <v>0</v>
      </c>
      <c r="BU110" s="143">
        <f t="shared" si="192"/>
        <v>0</v>
      </c>
      <c r="BV110" s="143">
        <f t="shared" si="192"/>
        <v>0</v>
      </c>
      <c r="BW110" s="143">
        <f t="shared" si="192"/>
        <v>0</v>
      </c>
      <c r="BX110" s="143">
        <f t="shared" si="192"/>
        <v>0</v>
      </c>
      <c r="BY110" s="143">
        <f t="shared" si="192"/>
        <v>0</v>
      </c>
      <c r="BZ110" s="143">
        <f t="shared" si="192"/>
        <v>0</v>
      </c>
      <c r="CA110" s="143">
        <f t="shared" si="192"/>
        <v>0</v>
      </c>
      <c r="CB110" s="143">
        <f t="shared" si="192"/>
        <v>0</v>
      </c>
      <c r="CC110" s="143">
        <f t="shared" si="192"/>
        <v>0</v>
      </c>
      <c r="CD110" s="143">
        <f t="shared" si="192"/>
        <v>0</v>
      </c>
      <c r="CE110" s="143">
        <f t="shared" si="192"/>
        <v>0</v>
      </c>
      <c r="CF110" s="143">
        <f t="shared" si="192"/>
        <v>0</v>
      </c>
      <c r="CG110" s="143">
        <f t="shared" si="192"/>
        <v>0</v>
      </c>
      <c r="CH110" s="143">
        <f t="shared" si="192"/>
        <v>0</v>
      </c>
      <c r="CI110" s="143">
        <f t="shared" si="192"/>
        <v>0</v>
      </c>
      <c r="CJ110" s="143">
        <f t="shared" si="192"/>
        <v>0</v>
      </c>
      <c r="CK110" s="143">
        <f t="shared" si="192"/>
        <v>0</v>
      </c>
      <c r="CL110" s="143">
        <f t="shared" si="192"/>
        <v>0</v>
      </c>
      <c r="CM110" s="143">
        <f t="shared" si="192"/>
        <v>0</v>
      </c>
      <c r="CN110" s="143">
        <f t="shared" si="192"/>
        <v>0</v>
      </c>
      <c r="CO110" s="143">
        <f t="shared" si="192"/>
        <v>0</v>
      </c>
      <c r="CP110" s="143">
        <f t="shared" si="192"/>
        <v>0</v>
      </c>
      <c r="CQ110" s="144">
        <f t="shared" si="192"/>
        <v>0</v>
      </c>
    </row>
    <row r="111" spans="1:95" ht="15" thickBot="1" x14ac:dyDescent="0.4">
      <c r="A111" s="42" t="s">
        <v>30</v>
      </c>
      <c r="B111" s="43"/>
      <c r="C111" s="217"/>
      <c r="D111" s="96">
        <f t="shared" ref="D111:S111" si="193">IF(D108&lt;D109,D108,D109)</f>
        <v>0</v>
      </c>
      <c r="E111" s="97">
        <f t="shared" si="193"/>
        <v>0</v>
      </c>
      <c r="F111" s="97">
        <f t="shared" si="193"/>
        <v>0</v>
      </c>
      <c r="G111" s="97">
        <f t="shared" si="193"/>
        <v>0</v>
      </c>
      <c r="H111" s="97">
        <f t="shared" si="193"/>
        <v>0</v>
      </c>
      <c r="I111" s="97">
        <f t="shared" si="193"/>
        <v>0</v>
      </c>
      <c r="J111" s="97">
        <f t="shared" si="193"/>
        <v>0</v>
      </c>
      <c r="K111" s="97">
        <f t="shared" si="193"/>
        <v>0</v>
      </c>
      <c r="L111" s="97">
        <f t="shared" si="193"/>
        <v>0</v>
      </c>
      <c r="M111" s="97">
        <f t="shared" si="193"/>
        <v>0</v>
      </c>
      <c r="N111" s="97">
        <f t="shared" si="193"/>
        <v>0</v>
      </c>
      <c r="O111" s="97">
        <f t="shared" si="193"/>
        <v>0</v>
      </c>
      <c r="P111" s="97">
        <f t="shared" si="193"/>
        <v>0</v>
      </c>
      <c r="Q111" s="97">
        <f t="shared" si="193"/>
        <v>0</v>
      </c>
      <c r="R111" s="97">
        <f t="shared" si="193"/>
        <v>0</v>
      </c>
      <c r="S111" s="97">
        <f t="shared" si="193"/>
        <v>0</v>
      </c>
      <c r="T111" s="97">
        <f t="shared" ref="T111:AX111" si="194">IF(T108&lt;T109,T108,T109)</f>
        <v>0</v>
      </c>
      <c r="U111" s="97">
        <f t="shared" si="194"/>
        <v>0</v>
      </c>
      <c r="V111" s="97">
        <f t="shared" si="194"/>
        <v>0</v>
      </c>
      <c r="W111" s="97">
        <f t="shared" si="194"/>
        <v>0</v>
      </c>
      <c r="X111" s="97">
        <f t="shared" si="194"/>
        <v>-0.9</v>
      </c>
      <c r="Y111" s="97">
        <f t="shared" si="194"/>
        <v>0</v>
      </c>
      <c r="Z111" s="97">
        <f t="shared" si="194"/>
        <v>0</v>
      </c>
      <c r="AA111" s="97">
        <f t="shared" si="194"/>
        <v>0</v>
      </c>
      <c r="AB111" s="97">
        <f t="shared" si="194"/>
        <v>0</v>
      </c>
      <c r="AC111" s="97">
        <f t="shared" si="194"/>
        <v>0</v>
      </c>
      <c r="AD111" s="97">
        <f t="shared" si="194"/>
        <v>0</v>
      </c>
      <c r="AE111" s="97">
        <f t="shared" si="194"/>
        <v>0</v>
      </c>
      <c r="AF111" s="97">
        <f t="shared" si="194"/>
        <v>0</v>
      </c>
      <c r="AG111" s="97">
        <f t="shared" si="194"/>
        <v>0</v>
      </c>
      <c r="AH111" s="95">
        <f t="shared" si="194"/>
        <v>0</v>
      </c>
      <c r="AI111" s="96">
        <f t="shared" si="194"/>
        <v>0</v>
      </c>
      <c r="AJ111" s="97">
        <f t="shared" si="194"/>
        <v>0</v>
      </c>
      <c r="AK111" s="97">
        <f t="shared" si="194"/>
        <v>0</v>
      </c>
      <c r="AL111" s="97">
        <f t="shared" si="194"/>
        <v>0</v>
      </c>
      <c r="AM111" s="97">
        <f t="shared" si="194"/>
        <v>0</v>
      </c>
      <c r="AN111" s="97">
        <f t="shared" si="194"/>
        <v>0</v>
      </c>
      <c r="AO111" s="97">
        <f t="shared" si="194"/>
        <v>0</v>
      </c>
      <c r="AP111" s="97">
        <f t="shared" si="194"/>
        <v>0</v>
      </c>
      <c r="AQ111" s="97">
        <f t="shared" si="194"/>
        <v>0</v>
      </c>
      <c r="AR111" s="97">
        <f t="shared" si="194"/>
        <v>0</v>
      </c>
      <c r="AS111" s="97">
        <f t="shared" si="194"/>
        <v>0</v>
      </c>
      <c r="AT111" s="97">
        <f t="shared" si="194"/>
        <v>0</v>
      </c>
      <c r="AU111" s="97">
        <f t="shared" si="194"/>
        <v>0</v>
      </c>
      <c r="AV111" s="97">
        <f t="shared" si="194"/>
        <v>0</v>
      </c>
      <c r="AW111" s="97">
        <f t="shared" si="194"/>
        <v>0</v>
      </c>
      <c r="AX111" s="97">
        <f t="shared" si="194"/>
        <v>0</v>
      </c>
      <c r="AY111" s="97">
        <f t="shared" ref="AY111:CQ111" si="195">IF(AY108&lt;AY109,AY108,AY109)</f>
        <v>0</v>
      </c>
      <c r="AZ111" s="97">
        <f t="shared" si="195"/>
        <v>0</v>
      </c>
      <c r="BA111" s="97">
        <f t="shared" si="195"/>
        <v>0</v>
      </c>
      <c r="BB111" s="97">
        <f t="shared" si="195"/>
        <v>0</v>
      </c>
      <c r="BC111" s="97">
        <f t="shared" si="195"/>
        <v>0</v>
      </c>
      <c r="BD111" s="97">
        <f t="shared" si="195"/>
        <v>0</v>
      </c>
      <c r="BE111" s="97">
        <f t="shared" si="195"/>
        <v>0</v>
      </c>
      <c r="BF111" s="97">
        <f t="shared" si="195"/>
        <v>0</v>
      </c>
      <c r="BG111" s="97">
        <f t="shared" si="195"/>
        <v>0</v>
      </c>
      <c r="BH111" s="97">
        <f t="shared" si="195"/>
        <v>0</v>
      </c>
      <c r="BI111" s="97">
        <f t="shared" si="195"/>
        <v>0</v>
      </c>
      <c r="BJ111" s="97">
        <f t="shared" si="195"/>
        <v>0</v>
      </c>
      <c r="BK111" s="97">
        <f t="shared" si="195"/>
        <v>0</v>
      </c>
      <c r="BL111" s="94">
        <f t="shared" si="195"/>
        <v>0</v>
      </c>
      <c r="BM111" s="96">
        <f t="shared" si="195"/>
        <v>0</v>
      </c>
      <c r="BN111" s="97">
        <f t="shared" si="195"/>
        <v>0</v>
      </c>
      <c r="BO111" s="97">
        <f t="shared" si="195"/>
        <v>0</v>
      </c>
      <c r="BP111" s="97">
        <f t="shared" si="195"/>
        <v>0</v>
      </c>
      <c r="BQ111" s="97">
        <f t="shared" si="195"/>
        <v>0</v>
      </c>
      <c r="BR111" s="97">
        <f t="shared" si="195"/>
        <v>0</v>
      </c>
      <c r="BS111" s="97">
        <f t="shared" si="195"/>
        <v>0</v>
      </c>
      <c r="BT111" s="97">
        <f t="shared" si="195"/>
        <v>0</v>
      </c>
      <c r="BU111" s="97">
        <f t="shared" si="195"/>
        <v>0</v>
      </c>
      <c r="BV111" s="97">
        <f t="shared" si="195"/>
        <v>0</v>
      </c>
      <c r="BW111" s="97">
        <f t="shared" si="195"/>
        <v>0</v>
      </c>
      <c r="BX111" s="97">
        <f t="shared" si="195"/>
        <v>0</v>
      </c>
      <c r="BY111" s="97">
        <f t="shared" si="195"/>
        <v>0</v>
      </c>
      <c r="BZ111" s="97">
        <f t="shared" si="195"/>
        <v>0</v>
      </c>
      <c r="CA111" s="97">
        <f t="shared" si="195"/>
        <v>0</v>
      </c>
      <c r="CB111" s="97">
        <f t="shared" si="195"/>
        <v>0</v>
      </c>
      <c r="CC111" s="97">
        <f t="shared" si="195"/>
        <v>0</v>
      </c>
      <c r="CD111" s="97">
        <f t="shared" si="195"/>
        <v>0</v>
      </c>
      <c r="CE111" s="97">
        <f t="shared" si="195"/>
        <v>0</v>
      </c>
      <c r="CF111" s="97">
        <f t="shared" si="195"/>
        <v>0</v>
      </c>
      <c r="CG111" s="97">
        <f t="shared" si="195"/>
        <v>0</v>
      </c>
      <c r="CH111" s="97">
        <f t="shared" si="195"/>
        <v>0</v>
      </c>
      <c r="CI111" s="97">
        <f t="shared" si="195"/>
        <v>0</v>
      </c>
      <c r="CJ111" s="97">
        <f t="shared" si="195"/>
        <v>0</v>
      </c>
      <c r="CK111" s="97">
        <f t="shared" si="195"/>
        <v>0</v>
      </c>
      <c r="CL111" s="97">
        <f t="shared" si="195"/>
        <v>0</v>
      </c>
      <c r="CM111" s="97">
        <f t="shared" si="195"/>
        <v>0</v>
      </c>
      <c r="CN111" s="97">
        <f t="shared" si="195"/>
        <v>0</v>
      </c>
      <c r="CO111" s="97">
        <f t="shared" si="195"/>
        <v>0</v>
      </c>
      <c r="CP111" s="97">
        <f t="shared" si="195"/>
        <v>0</v>
      </c>
      <c r="CQ111" s="95">
        <f t="shared" si="195"/>
        <v>0</v>
      </c>
    </row>
  </sheetData>
  <mergeCells count="46">
    <mergeCell ref="D1:AH1"/>
    <mergeCell ref="D34:AH34"/>
    <mergeCell ref="D88:AH88"/>
    <mergeCell ref="C91:C111"/>
    <mergeCell ref="A93:A94"/>
    <mergeCell ref="A96:A97"/>
    <mergeCell ref="A98:A99"/>
    <mergeCell ref="A100:A101"/>
    <mergeCell ref="A102:A103"/>
    <mergeCell ref="A67:A68"/>
    <mergeCell ref="A69:A70"/>
    <mergeCell ref="A71:A72"/>
    <mergeCell ref="A75:A76"/>
    <mergeCell ref="A91:A92"/>
    <mergeCell ref="A37:A38"/>
    <mergeCell ref="C37:C86"/>
    <mergeCell ref="A39:A40"/>
    <mergeCell ref="A41:A42"/>
    <mergeCell ref="A43:A44"/>
    <mergeCell ref="A45:A46"/>
    <mergeCell ref="A47:A48"/>
    <mergeCell ref="A49:A50"/>
    <mergeCell ref="A73:A74"/>
    <mergeCell ref="A51:A52"/>
    <mergeCell ref="A53:A54"/>
    <mergeCell ref="A55:A56"/>
    <mergeCell ref="A57:A58"/>
    <mergeCell ref="A61:A62"/>
    <mergeCell ref="A63:A64"/>
    <mergeCell ref="A65:A66"/>
    <mergeCell ref="A4:A5"/>
    <mergeCell ref="C4:C32"/>
    <mergeCell ref="A8:A9"/>
    <mergeCell ref="A10:A11"/>
    <mergeCell ref="A12:A13"/>
    <mergeCell ref="A14:A15"/>
    <mergeCell ref="A16:A17"/>
    <mergeCell ref="A18:A19"/>
    <mergeCell ref="A20:A21"/>
    <mergeCell ref="A22:A23"/>
    <mergeCell ref="AI1:BL1"/>
    <mergeCell ref="AI34:BL34"/>
    <mergeCell ref="AI88:BL88"/>
    <mergeCell ref="BM1:CQ1"/>
    <mergeCell ref="BM34:CQ34"/>
    <mergeCell ref="BM88:CQ88"/>
  </mergeCells>
  <phoneticPr fontId="27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F1823F07DE4946A8CA42ADAD7BB597" ma:contentTypeVersion="19" ma:contentTypeDescription="Crear nuevo documento." ma:contentTypeScope="" ma:versionID="ea0975f458e9868f5a15c8e9eb5eefb8">
  <xsd:schema xmlns:xsd="http://www.w3.org/2001/XMLSchema" xmlns:xs="http://www.w3.org/2001/XMLSchema" xmlns:p="http://schemas.microsoft.com/office/2006/metadata/properties" xmlns:ns2="dbb0e53d-939b-41f4-9f5d-a54a173e0f15" xmlns:ns3="47f7c321-aac1-44bf-89b8-f75337ba313c" targetNamespace="http://schemas.microsoft.com/office/2006/metadata/properties" ma:root="true" ma:fieldsID="d9dfcb241c510af402da67ccceb88f46" ns2:_="" ns3:_="">
    <xsd:import namespace="dbb0e53d-939b-41f4-9f5d-a54a173e0f15"/>
    <xsd:import namespace="47f7c321-aac1-44bf-89b8-f75337ba31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b0e53d-939b-41f4-9f5d-a54a173e0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6c0e74d-1c3f-484a-834f-4d9475cb7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Estado de aprobación" ma:internalName="_x0024_Resources_x003a_core_x002c_Signoff_Status">
      <xsd:simpleType>
        <xsd:restriction base="dms:Text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f7c321-aac1-44bf-89b8-f75337ba313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286f703-1db1-4263-b018-77baaf90f7d7}" ma:internalName="TaxCatchAll" ma:showField="CatchAllData" ma:web="47f7c321-aac1-44bf-89b8-f75337ba31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b0e53d-939b-41f4-9f5d-a54a173e0f15">
      <Terms xmlns="http://schemas.microsoft.com/office/infopath/2007/PartnerControls"/>
    </lcf76f155ced4ddcb4097134ff3c332f>
    <TaxCatchAll xmlns="47f7c321-aac1-44bf-89b8-f75337ba313c" xsi:nil="true"/>
    <_Flow_SignoffStatus xmlns="dbb0e53d-939b-41f4-9f5d-a54a173e0f15" xsi:nil="true"/>
  </documentManagement>
</p:properties>
</file>

<file path=customXml/itemProps1.xml><?xml version="1.0" encoding="utf-8"?>
<ds:datastoreItem xmlns:ds="http://schemas.openxmlformats.org/officeDocument/2006/customXml" ds:itemID="{20F50788-374B-4143-A9FA-5F60DBDA3E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b0e53d-939b-41f4-9f5d-a54a173e0f15"/>
    <ds:schemaRef ds:uri="47f7c321-aac1-44bf-89b8-f75337ba31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EB706C-1EAC-4526-B631-95BFB2B288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4AF3B4-81E5-4524-A8AA-888AD028F1D3}">
  <ds:schemaRefs>
    <ds:schemaRef ds:uri="http://schemas.microsoft.com/office/2006/metadata/properties"/>
    <ds:schemaRef ds:uri="http://schemas.microsoft.com/office/infopath/2007/PartnerControls"/>
    <ds:schemaRef ds:uri="dbb0e53d-939b-41f4-9f5d-a54a173e0f15"/>
    <ds:schemaRef ds:uri="47f7c321-aac1-44bf-89b8-f75337ba313c"/>
  </ds:schemaRefs>
</ds:datastoreItem>
</file>

<file path=docMetadata/LabelInfo.xml><?xml version="1.0" encoding="utf-8"?>
<clbl:labelList xmlns:clbl="http://schemas.microsoft.com/office/2020/mipLabelMetadata">
  <clbl:label id="{042db24e-cd6b-4541-a23c-622f7debcc30}" enabled="1" method="Privileged" siteId="{95806b5c-5613-4e1c-94b4-8eb408affe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CCO - SE - Cammesa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Guillermo Palladino</dc:creator>
  <cp:keywords/>
  <dc:description/>
  <cp:lastModifiedBy>Rodrigo Manassero</cp:lastModifiedBy>
  <cp:revision/>
  <dcterms:created xsi:type="dcterms:W3CDTF">2025-10-09T15:27:18Z</dcterms:created>
  <dcterms:modified xsi:type="dcterms:W3CDTF">2026-10-26T18:58:30Z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0x010100AEF1823F07DE4946A8CA42ADAD7BB597</vt:lpwstr>
  </property>
</Properties>
</file>